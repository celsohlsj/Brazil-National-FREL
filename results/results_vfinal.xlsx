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elsojunior/Documents/GitHub/Brazil-National-FREL/results/"/>
    </mc:Choice>
  </mc:AlternateContent>
  <xr:revisionPtr revIDLastSave="0" documentId="13_ncr:1_{B36B80CB-3CD0-5149-9BDE-6A955437DA49}" xr6:coauthVersionLast="47" xr6:coauthVersionMax="47" xr10:uidLastSave="{00000000-0000-0000-0000-000000000000}"/>
  <bookViews>
    <workbookView xWindow="200" yWindow="680" windowWidth="18500" windowHeight="17820" tabRatio="761" xr2:uid="{00000000-000D-0000-FFFF-FFFF00000000}"/>
  </bookViews>
  <sheets>
    <sheet name="Figure 1" sheetId="11" r:id="rId1"/>
    <sheet name="Figure 4" sheetId="15" r:id="rId2"/>
    <sheet name="DETER Degradation 2017-2024" sheetId="17" r:id="rId3"/>
    <sheet name="PRODES Deforestation 2017-2024" sheetId="16" r:id="rId4"/>
    <sheet name="Brazil's REDD+ Results" sheetId="18" r:id="rId5"/>
    <sheet name="2022 and 2023 Emissions" sheetId="1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9" l="1"/>
  <c r="H7" i="15"/>
  <c r="H6" i="15" l="1"/>
  <c r="D2" i="15"/>
  <c r="H2" i="15"/>
  <c r="E6" i="19"/>
  <c r="E2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H13" i="19"/>
  <c r="H12" i="19"/>
  <c r="H11" i="19"/>
  <c r="H10" i="19"/>
  <c r="H9" i="19"/>
  <c r="H8" i="19"/>
  <c r="H5" i="19"/>
  <c r="H4" i="19"/>
  <c r="E3" i="19"/>
  <c r="E7" i="19"/>
  <c r="H7" i="19" s="1"/>
  <c r="H6" i="19"/>
  <c r="G2" i="19" l="1"/>
  <c r="H2" i="19" s="1"/>
  <c r="G3" i="19"/>
  <c r="H3" i="19" s="1"/>
  <c r="H14" i="19" l="1"/>
  <c r="G7" i="11" s="1"/>
  <c r="I2" i="19"/>
  <c r="H15" i="19"/>
  <c r="G8" i="11" s="1"/>
  <c r="B26" i="18" l="1"/>
  <c r="F8" i="15"/>
  <c r="F7" i="15"/>
  <c r="F3" i="15"/>
  <c r="F4" i="15"/>
  <c r="F5" i="15"/>
  <c r="F6" i="15"/>
  <c r="F2" i="15"/>
  <c r="F2" i="11"/>
  <c r="G2" i="15"/>
  <c r="G3" i="15" s="1"/>
  <c r="G4" i="15" s="1"/>
  <c r="G5" i="15" s="1"/>
  <c r="G6" i="15" s="1"/>
  <c r="G7" i="15" s="1"/>
  <c r="G8" i="15" s="1"/>
  <c r="G1" i="15"/>
  <c r="H3" i="15"/>
  <c r="H4" i="15"/>
  <c r="H5" i="15"/>
  <c r="H8" i="15"/>
  <c r="F6" i="11"/>
  <c r="F5" i="11"/>
  <c r="F4" i="11"/>
  <c r="F3" i="11"/>
  <c r="D3" i="15" l="1"/>
  <c r="D4" i="15" l="1"/>
  <c r="D5" i="15" l="1"/>
  <c r="D6" i="15" s="1"/>
  <c r="D7" i="15" s="1"/>
  <c r="D8" i="15" s="1"/>
</calcChain>
</file>

<file path=xl/sharedStrings.xml><?xml version="1.0" encoding="utf-8"?>
<sst xmlns="http://schemas.openxmlformats.org/spreadsheetml/2006/main" count="92" uniqueCount="42">
  <si>
    <t>Year</t>
  </si>
  <si>
    <t>-</t>
  </si>
  <si>
    <t>Official FREL Emissions</t>
  </si>
  <si>
    <t>Official National FREL</t>
  </si>
  <si>
    <t>Modified National FREL</t>
  </si>
  <si>
    <t>Estimated FREL Emissions</t>
  </si>
  <si>
    <t>Emissions from Deforestation</t>
  </si>
  <si>
    <t>Emissions from Degradation</t>
  </si>
  <si>
    <r>
      <t>Area (km</t>
    </r>
    <r>
      <rPr>
        <b/>
        <vertAlign val="super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)</t>
    </r>
  </si>
  <si>
    <r>
      <rPr>
        <b/>
        <sz val="11"/>
        <color rgb="FF000000"/>
        <rFont val="Calibri"/>
        <family val="2"/>
        <scheme val="minor"/>
      </rPr>
      <t>Accessed on</t>
    </r>
    <r>
      <rPr>
        <sz val="11"/>
        <color rgb="FF000000"/>
        <rFont val="Calibri"/>
        <family val="2"/>
        <scheme val="minor"/>
      </rPr>
      <t>: https://terrabrasilis.dpi.inpe.br/app/dashboard/alerts/biomes/amazonia-nb/aggregated</t>
    </r>
  </si>
  <si>
    <r>
      <rPr>
        <b/>
        <sz val="11"/>
        <color rgb="FF000000"/>
        <rFont val="Calibri"/>
        <family val="2"/>
        <scheme val="minor"/>
      </rPr>
      <t>Access date</t>
    </r>
    <r>
      <rPr>
        <sz val="11"/>
        <color rgb="FF000000"/>
        <rFont val="Calibri"/>
        <family val="2"/>
        <scheme val="minor"/>
      </rPr>
      <t>: January 7, 2025</t>
    </r>
  </si>
  <si>
    <t>Official FREL Emissions (Deforestation)</t>
  </si>
  <si>
    <t>Official FREL Emissions (Degradation)</t>
  </si>
  <si>
    <t>Emissions from Figure 1</t>
  </si>
  <si>
    <t>Forest Fires, Disordered Selective Logging and Geometric Selective Logging</t>
  </si>
  <si>
    <r>
      <t>Amazon biome (km</t>
    </r>
    <r>
      <rPr>
        <b/>
        <vertAlign val="super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)</t>
    </r>
  </si>
  <si>
    <r>
      <t>Cerrado biome (km</t>
    </r>
    <r>
      <rPr>
        <b/>
        <vertAlign val="superscript"/>
        <sz val="11"/>
        <color rgb="FF000000"/>
        <rFont val="Calibri"/>
        <family val="2"/>
        <scheme val="minor"/>
      </rPr>
      <t>2</t>
    </r>
    <r>
      <rPr>
        <b/>
        <sz val="11"/>
        <color rgb="FF000000"/>
        <rFont val="Calibri"/>
        <family val="2"/>
        <scheme val="minor"/>
      </rPr>
      <t>)</t>
    </r>
  </si>
  <si>
    <t>Deforestation Increment Area</t>
  </si>
  <si>
    <r>
      <rPr>
        <b/>
        <sz val="11"/>
        <color rgb="FF000000"/>
        <rFont val="Calibri"/>
        <family val="2"/>
        <scheme val="minor"/>
      </rPr>
      <t>Accessed on</t>
    </r>
    <r>
      <rPr>
        <sz val="11"/>
        <color rgb="FF000000"/>
        <rFont val="Calibri"/>
        <family val="2"/>
        <scheme val="minor"/>
      </rPr>
      <t>: https://terrabrasilis.dpi.inpe.br/app/dashboard/deforestation/biomes</t>
    </r>
  </si>
  <si>
    <r>
      <rPr>
        <b/>
        <sz val="11"/>
        <color rgb="FF000000"/>
        <rFont val="Calibri"/>
        <family val="2"/>
        <scheme val="minor"/>
      </rPr>
      <t>Access date</t>
    </r>
    <r>
      <rPr>
        <sz val="11"/>
        <color rgb="FF000000"/>
        <rFont val="Calibri"/>
        <family val="2"/>
        <scheme val="minor"/>
      </rPr>
      <t>:April 7, 2025</t>
    </r>
  </si>
  <si>
    <t xml:space="preserve">Year </t>
  </si>
  <si>
    <r>
      <t>t CO</t>
    </r>
    <r>
      <rPr>
        <b/>
        <vertAlign val="subscript"/>
        <sz val="11"/>
        <rFont val="Inherit"/>
      </rPr>
      <t>2</t>
    </r>
    <r>
      <rPr>
        <b/>
        <sz val="11"/>
        <rFont val="Inherit"/>
      </rPr>
      <t xml:space="preserve"> eq/year</t>
    </r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</si>
  <si>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rgb="FF000000"/>
        <rFont val="Calibri"/>
        <family val="2"/>
        <scheme val="minor"/>
      </rPr>
      <t>: https://redd.unfccc.int/submissions.html?country=bra</t>
    </r>
  </si>
  <si>
    <t>Average (2006-2020)</t>
  </si>
  <si>
    <t>5,704.24*</t>
  </si>
  <si>
    <t>*Based on priority tile mapping. Source: https://data.inpe.br/big/web/biomasbr/notas-tecnicas/estimativa-de-desmatamento-na-amazonia-legal-para/</t>
  </si>
  <si>
    <t>Amazonia</t>
  </si>
  <si>
    <t>Cerrado</t>
  </si>
  <si>
    <t>Caatinga</t>
  </si>
  <si>
    <t>Atlantic Forest</t>
  </si>
  <si>
    <t>Pampa</t>
  </si>
  <si>
    <t>Pantanal</t>
  </si>
  <si>
    <t>Brazil</t>
  </si>
  <si>
    <t>Biome</t>
  </si>
  <si>
    <t>Official FREL (t CO₂ eq)</t>
  </si>
  <si>
    <t>Gross Deforestation (t CO₂ eq)</t>
  </si>
  <si>
    <t>Net Deforestation (t CO₂ eq)</t>
  </si>
  <si>
    <t>Gross Degradation (t CO₂ eq)</t>
  </si>
  <si>
    <t>Deforestation + Degradation (t CO₂ eq)</t>
  </si>
  <si>
    <t>Corrected Total Emissions (t CO₂ eq)</t>
  </si>
  <si>
    <t>Estimated Result for 2022
(t CO₂ eq)</t>
  </si>
  <si>
    <t>Estimated Result for 2023
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</si>
</sst>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Inherit"/>
    </font>
    <font>
      <b/>
      <vertAlign val="subscript"/>
      <sz val="11"/>
      <name val="Inherit"/>
    </font>
    <font>
      <sz val="11"/>
      <color rgb="FF000000"/>
      <name val="Inherit"/>
    </font>
    <font>
      <sz val="11"/>
      <color rgb="FF000000"/>
      <name val="Camingodos_probold"/>
    </font>
    <font>
      <b/>
      <sz val="11"/>
      <color theme="0"/>
      <name val="Inherit"/>
    </font>
    <font>
      <b/>
      <sz val="11"/>
      <color theme="0"/>
      <name val="Camingodos_probold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3" fontId="3" fillId="0" borderId="0" xfId="0" applyNumberFormat="1" applyFont="1"/>
    <xf numFmtId="3" fontId="2" fillId="0" borderId="2" xfId="0" applyNumberFormat="1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vertical="center"/>
    </xf>
    <xf numFmtId="4" fontId="9" fillId="0" borderId="1" xfId="0" applyNumberFormat="1" applyFont="1" applyBorder="1" applyAlignment="1">
      <alignment vertical="center"/>
    </xf>
    <xf numFmtId="4" fontId="9" fillId="0" borderId="1" xfId="0" applyNumberFormat="1" applyFont="1" applyBorder="1" applyAlignment="1">
      <alignment horizontal="right" vertical="center"/>
    </xf>
    <xf numFmtId="1" fontId="10" fillId="4" borderId="1" xfId="0" applyNumberFormat="1" applyFont="1" applyFill="1" applyBorder="1" applyAlignment="1">
      <alignment horizontal="right" vertical="top"/>
    </xf>
    <xf numFmtId="4" fontId="11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3" fontId="12" fillId="3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3" fontId="12" fillId="0" borderId="1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horizontal="right" vertical="center"/>
    </xf>
    <xf numFmtId="0" fontId="12" fillId="3" borderId="1" xfId="0" applyFont="1" applyFill="1" applyBorder="1" applyAlignment="1">
      <alignment vertical="center"/>
    </xf>
    <xf numFmtId="3" fontId="12" fillId="3" borderId="1" xfId="0" applyNumberFormat="1" applyFont="1" applyFill="1" applyBorder="1" applyAlignment="1">
      <alignment vertical="center"/>
    </xf>
    <xf numFmtId="3" fontId="13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4" fontId="12" fillId="0" borderId="1" xfId="0" applyNumberFormat="1" applyFont="1" applyBorder="1" applyAlignment="1">
      <alignment horizontal="right" vertical="center"/>
    </xf>
    <xf numFmtId="2" fontId="14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5E00"/>
      <color rgb="FF56B4E9"/>
      <color rgb="FF0072B2"/>
      <color rgb="FF1A1A1A"/>
      <color rgb="FF333333"/>
      <color rgb="FFE69F00"/>
      <color rgb="FFDE6C6A"/>
      <color rgb="FFE8C75A"/>
      <color rgb="FFF5F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1"/>
          <c:tx>
            <c:strRef>
              <c:f>'Figure 1'!$G$1</c:f>
              <c:strCache>
                <c:ptCount val="1"/>
                <c:pt idx="0">
                  <c:v>Estimated FREL Emissions</c:v>
                </c:pt>
              </c:strCache>
            </c:strRef>
          </c:tx>
          <c:spPr>
            <a:solidFill>
              <a:srgbClr val="E69F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1A1A1A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1'!$A$2:$A$8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'Figure 1'!$G$2:$G$8</c:f>
              <c:numCache>
                <c:formatCode>#,##0</c:formatCode>
                <c:ptCount val="7"/>
                <c:pt idx="5">
                  <c:v>920000848.54453743</c:v>
                </c:pt>
                <c:pt idx="6">
                  <c:v>656934443.71267962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1-4099-A53F-3E5554E5C118}"/>
            </c:ext>
          </c:extLst>
        </c:ser>
        <c:ser>
          <c:idx val="1"/>
          <c:order val="2"/>
          <c:tx>
            <c:strRef>
              <c:f>'Figure 1'!$F$1</c:f>
              <c:strCache>
                <c:ptCount val="1"/>
                <c:pt idx="0">
                  <c:v>Official FREL Emissions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1'!$A$2:$A$8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'Figure 1'!$F$2:$F$8</c:f>
              <c:numCache>
                <c:formatCode>#,##0</c:formatCode>
                <c:ptCount val="7"/>
                <c:pt idx="0">
                  <c:v>558574035</c:v>
                </c:pt>
                <c:pt idx="1">
                  <c:v>535565170</c:v>
                </c:pt>
                <c:pt idx="2">
                  <c:v>712722888</c:v>
                </c:pt>
                <c:pt idx="3">
                  <c:v>728472868</c:v>
                </c:pt>
                <c:pt idx="4">
                  <c:v>832227808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1-4099-A53F-3E5554E5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66953023"/>
        <c:axId val="566967423"/>
      </c:barChart>
      <c:lineChart>
        <c:grouping val="standard"/>
        <c:varyColors val="0"/>
        <c:ser>
          <c:idx val="2"/>
          <c:order val="0"/>
          <c:tx>
            <c:strRef>
              <c:f>'Figure 1'!$H$1</c:f>
              <c:strCache>
                <c:ptCount val="1"/>
                <c:pt idx="0">
                  <c:v>Official National FREL</c:v>
                </c:pt>
              </c:strCache>
            </c:strRef>
          </c:tx>
          <c:spPr>
            <a:ln w="25400" cap="rnd">
              <a:solidFill>
                <a:schemeClr val="tx1">
                  <a:lumMod val="85000"/>
                  <a:lumOff val="1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2969126475619012E-2"/>
                  <c:y val="-2.1038468313002608E-2"/>
                </c:manualLayout>
              </c:layout>
              <c:tx>
                <c:rich>
                  <a:bodyPr/>
                  <a:lstStyle/>
                  <a:p>
                    <a:fld id="{7A83FEE2-3F09-45D2-BFF6-E35BB926736A}" type="VALUE">
                      <a:rPr lang="en-US"/>
                      <a:pPr/>
                      <a:t>[VALOR]</a:t>
                    </a:fld>
                    <a:r>
                      <a:rPr lang="en-US" b="1"/>
                      <a:t>*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701-4099-A53F-3E5554E5C11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01-4099-A53F-3E5554E5C11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01-4099-A53F-3E5554E5C1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01-4099-A53F-3E5554E5C11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01-4099-A53F-3E5554E5C11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01-4099-A53F-3E5554E5C11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701-4099-A53F-3E5554E5C11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333333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1'!$A$2:$A$8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'Figure 1'!$H$2:$H$8</c:f>
              <c:numCache>
                <c:formatCode>#,##0</c:formatCode>
                <c:ptCount val="7"/>
                <c:pt idx="0">
                  <c:v>673566464</c:v>
                </c:pt>
                <c:pt idx="1">
                  <c:v>673566464</c:v>
                </c:pt>
                <c:pt idx="2">
                  <c:v>673566464</c:v>
                </c:pt>
                <c:pt idx="3">
                  <c:v>673566464</c:v>
                </c:pt>
                <c:pt idx="4">
                  <c:v>673566464</c:v>
                </c:pt>
                <c:pt idx="5">
                  <c:v>673566464</c:v>
                </c:pt>
                <c:pt idx="6">
                  <c:v>673566464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01-4099-A53F-3E5554E5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953023"/>
        <c:axId val="566967423"/>
      </c:lineChart>
      <c:catAx>
        <c:axId val="566953023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333333"/>
                </a:solidFill>
                <a:latin typeface="Montserrat" pitchFamily="2" charset="0"/>
                <a:ea typeface="+mn-ea"/>
                <a:cs typeface="+mn-cs"/>
              </a:defRPr>
            </a:pPr>
            <a:endParaRPr lang="pt-BR"/>
          </a:p>
        </c:txPr>
        <c:crossAx val="566967423"/>
        <c:crosses val="autoZero"/>
        <c:auto val="1"/>
        <c:lblAlgn val="ctr"/>
        <c:lblOffset val="100"/>
        <c:noMultiLvlLbl val="0"/>
      </c:catAx>
      <c:valAx>
        <c:axId val="566967423"/>
        <c:scaling>
          <c:orientation val="minMax"/>
          <c:max val="120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333333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pt-BR"/>
                  <a:t>tons CO2 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333333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>
            <a:solidFill>
              <a:schemeClr val="tx1">
                <a:lumMod val="85000"/>
                <a:lumOff val="1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333333"/>
                </a:solidFill>
                <a:latin typeface="Montserrat" pitchFamily="2" charset="0"/>
                <a:ea typeface="+mn-ea"/>
                <a:cs typeface="+mn-cs"/>
              </a:defRPr>
            </a:pPr>
            <a:endParaRPr lang="pt-BR"/>
          </a:p>
        </c:txPr>
        <c:crossAx val="566953023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333333"/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r>
                    <a:rPr lang="pt-BR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333333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333333"/>
              </a:solidFill>
              <a:latin typeface="Montserrat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rgbClr val="333333"/>
          </a:solidFill>
          <a:latin typeface="Montserrat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'Figure 4'!$B$1</c:f>
              <c:strCache>
                <c:ptCount val="1"/>
                <c:pt idx="0">
                  <c:v>Emissions from Deforestation</c:v>
                </c:pt>
              </c:strCache>
            </c:strRef>
          </c:tx>
          <c:spPr>
            <a:solidFill>
              <a:srgbClr val="0072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'Figure 4'!$A$2:$A$8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'Figure 4'!$B$2:$B$8</c:f>
              <c:numCache>
                <c:formatCode>#,##0</c:formatCode>
                <c:ptCount val="7"/>
                <c:pt idx="0">
                  <c:v>504814968.13472211</c:v>
                </c:pt>
                <c:pt idx="1">
                  <c:v>512747778.48476946</c:v>
                </c:pt>
                <c:pt idx="2">
                  <c:v>669640433.63217413</c:v>
                </c:pt>
                <c:pt idx="3">
                  <c:v>651615154.05905795</c:v>
                </c:pt>
                <c:pt idx="4">
                  <c:v>774439089.33926058</c:v>
                </c:pt>
                <c:pt idx="5">
                  <c:v>848533360.49760962</c:v>
                </c:pt>
                <c:pt idx="6">
                  <c:v>592190242.8729775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D-4801-9BB5-E85E31EEB590}"/>
            </c:ext>
          </c:extLst>
        </c:ser>
        <c:ser>
          <c:idx val="0"/>
          <c:order val="2"/>
          <c:tx>
            <c:strRef>
              <c:f>'Figure 4'!$C$1</c:f>
              <c:strCache>
                <c:ptCount val="1"/>
                <c:pt idx="0">
                  <c:v>Emissions from Degradation</c:v>
                </c:pt>
              </c:strCache>
            </c:strRef>
          </c:tx>
          <c:spPr>
            <a:solidFill>
              <a:srgbClr val="56B4E9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0751633986928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48-4674-B444-3E9FCB64E3CE}"/>
                </c:ext>
              </c:extLst>
            </c:dLbl>
            <c:dLbl>
              <c:idx val="1"/>
              <c:layout>
                <c:manualLayout>
                  <c:x val="0"/>
                  <c:y val="-4.83836920289686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15D-4801-9BB5-E85E31EEB590}"/>
                </c:ext>
              </c:extLst>
            </c:dLbl>
            <c:dLbl>
              <c:idx val="2"/>
              <c:layout>
                <c:manualLayout>
                  <c:x val="0"/>
                  <c:y val="-6.5739869281045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5D-4801-9BB5-E85E31EEB590}"/>
                </c:ext>
              </c:extLst>
            </c:dLbl>
            <c:dLbl>
              <c:idx val="3"/>
              <c:layout>
                <c:manualLayout>
                  <c:x val="-5.3978774772108706E-17"/>
                  <c:y val="-8.79703643774053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5D-4801-9BB5-E85E31EEB590}"/>
                </c:ext>
              </c:extLst>
            </c:dLbl>
            <c:dLbl>
              <c:idx val="4"/>
              <c:layout>
                <c:manualLayout>
                  <c:x val="-5.4155237993242562E-17"/>
                  <c:y val="-5.27822094861475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15D-4801-9BB5-E85E31EEB590}"/>
                </c:ext>
              </c:extLst>
            </c:dLbl>
            <c:dLbl>
              <c:idx val="5"/>
              <c:layout>
                <c:manualLayout>
                  <c:x val="0"/>
                  <c:y val="-7.8856209150326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48-4674-B444-3E9FCB64E3CE}"/>
                </c:ext>
              </c:extLst>
            </c:dLbl>
            <c:dLbl>
              <c:idx val="6"/>
              <c:layout>
                <c:manualLayout>
                  <c:x val="0"/>
                  <c:y val="-0.100297222222222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15D-4801-9BB5-E85E31EEB5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'Figure 4'!$A$2:$A$8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'Figure 4'!$C$2:$C$8</c:f>
              <c:numCache>
                <c:formatCode>#,##0</c:formatCode>
                <c:ptCount val="7"/>
                <c:pt idx="0">
                  <c:v>138177772.22768989</c:v>
                </c:pt>
                <c:pt idx="1">
                  <c:v>64328318.518658698</c:v>
                </c:pt>
                <c:pt idx="2">
                  <c:v>101663449.22992247</c:v>
                </c:pt>
                <c:pt idx="3">
                  <c:v>161190520.30257586</c:v>
                </c:pt>
                <c:pt idx="4">
                  <c:v>68652293.948963672</c:v>
                </c:pt>
                <c:pt idx="5">
                  <c:v>134676822.19909376</c:v>
                </c:pt>
                <c:pt idx="6">
                  <c:v>133936755.6163467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5D-4801-9BB5-E85E31EEB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66953023"/>
        <c:axId val="566967423"/>
      </c:barChart>
      <c:lineChart>
        <c:grouping val="standard"/>
        <c:varyColors val="0"/>
        <c:ser>
          <c:idx val="2"/>
          <c:order val="0"/>
          <c:tx>
            <c:strRef>
              <c:f>'Figure 4'!$D$1</c:f>
              <c:strCache>
                <c:ptCount val="1"/>
                <c:pt idx="0">
                  <c:v>Modified National FREL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3249488683336988E-2"/>
                  <c:y val="-1.7594072875481065E-2"/>
                </c:manualLayout>
              </c:layout>
              <c:tx>
                <c:rich>
                  <a:bodyPr/>
                  <a:lstStyle/>
                  <a:p>
                    <a:fld id="{05662178-54F5-47B4-AD66-2AFF4A387F6D}" type="VALUE">
                      <a:rPr lang="en-US"/>
                      <a:pPr/>
                      <a:t>[VALOR]</a:t>
                    </a:fld>
                    <a:r>
                      <a:rPr lang="en-US" b="1"/>
                      <a:t>*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15D-4801-9BB5-E85E31EEB59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5D-4801-9BB5-E85E31EEB59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5D-4801-9BB5-E85E31EEB59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5D-4801-9BB5-E85E31EEB59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15D-4801-9BB5-E85E31EEB59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5D-4801-9BB5-E85E31EEB59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15D-4801-9BB5-E85E31EEB5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2'!#REF!</c:f>
            </c:multiLvlStrRef>
          </c:cat>
          <c:val>
            <c:numRef>
              <c:f>'Figure 4'!$D$2:$D$8</c:f>
              <c:numCache>
                <c:formatCode>#,##0</c:formatCode>
                <c:ptCount val="7"/>
                <c:pt idx="0">
                  <c:v>729453955.5755589</c:v>
                </c:pt>
                <c:pt idx="1">
                  <c:v>729453955.5755589</c:v>
                </c:pt>
                <c:pt idx="2">
                  <c:v>729453955.5755589</c:v>
                </c:pt>
                <c:pt idx="3">
                  <c:v>729453955.5755589</c:v>
                </c:pt>
                <c:pt idx="4">
                  <c:v>729453955.5755589</c:v>
                </c:pt>
                <c:pt idx="5">
                  <c:v>729453955.5755589</c:v>
                </c:pt>
                <c:pt idx="6">
                  <c:v>729453955.5755589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15D-4801-9BB5-E85E31EEB590}"/>
            </c:ext>
          </c:extLst>
        </c:ser>
        <c:ser>
          <c:idx val="4"/>
          <c:order val="3"/>
          <c:tx>
            <c:strRef>
              <c:f>'Figure 4'!$G$1</c:f>
              <c:strCache>
                <c:ptCount val="1"/>
                <c:pt idx="0">
                  <c:v>Official National FREL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'Figure 2'!#REF!</c:f>
            </c:multiLvlStrRef>
          </c:cat>
          <c:val>
            <c:numRef>
              <c:f>'Figure 4'!$G$2:$G$8</c:f>
              <c:numCache>
                <c:formatCode>#,##0</c:formatCode>
                <c:ptCount val="7"/>
                <c:pt idx="0">
                  <c:v>673566464</c:v>
                </c:pt>
                <c:pt idx="1">
                  <c:v>673566464</c:v>
                </c:pt>
                <c:pt idx="2">
                  <c:v>673566464</c:v>
                </c:pt>
                <c:pt idx="3">
                  <c:v>673566464</c:v>
                </c:pt>
                <c:pt idx="4">
                  <c:v>673566464</c:v>
                </c:pt>
                <c:pt idx="5">
                  <c:v>673566464</c:v>
                </c:pt>
                <c:pt idx="6">
                  <c:v>673566464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15D-4801-9BB5-E85E31EEB590}"/>
            </c:ext>
          </c:extLst>
        </c:ser>
        <c:ser>
          <c:idx val="3"/>
          <c:order val="4"/>
          <c:tx>
            <c:v>Emissions from Fig. 1</c:v>
          </c:tx>
          <c:spPr>
            <a:ln w="28575" cap="rnd">
              <a:solidFill>
                <a:srgbClr val="D55E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28575">
                <a:solidFill>
                  <a:srgbClr val="D55E00"/>
                </a:solidFill>
                <a:prstDash val="solid"/>
              </a:ln>
              <a:effectLst/>
            </c:spPr>
          </c:marker>
          <c:cat>
            <c:multiLvlStrRef>
              <c:f>'Figure 2'!#REF!</c:f>
            </c:multiLvlStrRef>
          </c:cat>
          <c:val>
            <c:numRef>
              <c:f>'Figure 4'!$F$2:$F$8</c:f>
              <c:numCache>
                <c:formatCode>#,##0</c:formatCode>
                <c:ptCount val="7"/>
                <c:pt idx="0">
                  <c:v>558574035</c:v>
                </c:pt>
                <c:pt idx="1">
                  <c:v>535565170</c:v>
                </c:pt>
                <c:pt idx="2">
                  <c:v>712722888</c:v>
                </c:pt>
                <c:pt idx="3">
                  <c:v>728472868</c:v>
                </c:pt>
                <c:pt idx="4">
                  <c:v>832227808</c:v>
                </c:pt>
                <c:pt idx="5">
                  <c:v>920000848.54453743</c:v>
                </c:pt>
                <c:pt idx="6">
                  <c:v>656934443.71267962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5D-4801-9BB5-E85E31EEB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953023"/>
        <c:axId val="566967423"/>
      </c:lineChart>
      <c:catAx>
        <c:axId val="566953023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pt-BR"/>
          </a:p>
        </c:txPr>
        <c:crossAx val="566967423"/>
        <c:crosses val="autoZero"/>
        <c:auto val="1"/>
        <c:lblAlgn val="ctr"/>
        <c:lblOffset val="100"/>
        <c:noMultiLvlLbl val="0"/>
      </c:catAx>
      <c:valAx>
        <c:axId val="566967423"/>
        <c:scaling>
          <c:orientation val="minMax"/>
          <c:max val="120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pt-BR" sz="1200" b="0" i="0" u="none" strike="noStrike" baseline="0"/>
                  <a:t>tons</a:t>
                </a:r>
                <a:r>
                  <a:rPr lang="pt-BR" baseline="0"/>
                  <a:t> CO</a:t>
                </a:r>
                <a:r>
                  <a:rPr lang="pt-BR" baseline="-25000"/>
                  <a:t>2</a:t>
                </a:r>
                <a:r>
                  <a:rPr lang="pt-BR" baseline="0"/>
                  <a:t> eq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12700">
            <a:solidFill>
              <a:schemeClr val="tx1">
                <a:lumMod val="85000"/>
                <a:lumOff val="1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pt-BR"/>
          </a:p>
        </c:txPr>
        <c:crossAx val="566953023"/>
        <c:crosses val="autoZero"/>
        <c:crossBetween val="between"/>
        <c:minorUnit val="20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r>
                    <a:rPr lang="pt-BR" b="0" i="0">
                      <a:effectLst/>
                    </a:rPr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>
              <a:lumMod val="85000"/>
              <a:lumOff val="15000"/>
            </a:schemeClr>
          </a:solidFill>
          <a:latin typeface="Montserrat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</xdr:colOff>
      <xdr:row>9</xdr:row>
      <xdr:rowOff>80802</xdr:rowOff>
    </xdr:from>
    <xdr:to>
      <xdr:col>6</xdr:col>
      <xdr:colOff>2041176</xdr:colOff>
      <xdr:row>41</xdr:row>
      <xdr:rowOff>104802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EB52E8-14C7-4E7F-87EC-01AF1B874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420849</xdr:colOff>
      <xdr:row>10</xdr:row>
      <xdr:rowOff>80028</xdr:rowOff>
    </xdr:from>
    <xdr:to>
      <xdr:col>5</xdr:col>
      <xdr:colOff>1100670</xdr:colOff>
      <xdr:row>42</xdr:row>
      <xdr:rowOff>104028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E62346-D36B-42B3-BE99-4BB2C83F6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9525-7C4D-42FA-A23D-D0CEA7AFCD11}">
  <dimension ref="A1:L26"/>
  <sheetViews>
    <sheetView tabSelected="1" topLeftCell="A6" zoomScale="74" zoomScaleNormal="70" workbookViewId="0">
      <selection activeCell="G56" sqref="G56"/>
    </sheetView>
  </sheetViews>
  <sheetFormatPr baseColWidth="10" defaultColWidth="8.83203125" defaultRowHeight="15"/>
  <cols>
    <col min="1" max="1" width="10.1640625" customWidth="1"/>
    <col min="2" max="2" width="4.1640625" customWidth="1"/>
    <col min="3" max="3" width="23.33203125" customWidth="1"/>
    <col min="4" max="4" width="24.5" customWidth="1"/>
    <col min="5" max="5" width="4.6640625" customWidth="1"/>
    <col min="6" max="6" width="32.1640625" customWidth="1"/>
    <col min="7" max="7" width="31.33203125" customWidth="1"/>
    <col min="8" max="8" width="29.5" customWidth="1"/>
    <col min="10" max="10" width="15" bestFit="1" customWidth="1"/>
    <col min="11" max="11" width="19.1640625" customWidth="1"/>
  </cols>
  <sheetData>
    <row r="1" spans="1:12" ht="48.75" customHeight="1">
      <c r="A1" s="9" t="s">
        <v>0</v>
      </c>
      <c r="C1" s="11" t="s">
        <v>11</v>
      </c>
      <c r="D1" s="11" t="s">
        <v>12</v>
      </c>
      <c r="F1" s="9" t="s">
        <v>2</v>
      </c>
      <c r="G1" s="9" t="s">
        <v>5</v>
      </c>
      <c r="H1" s="9" t="s">
        <v>3</v>
      </c>
    </row>
    <row r="2" spans="1:12">
      <c r="A2" s="5">
        <v>2017</v>
      </c>
      <c r="C2" s="6">
        <v>509307020</v>
      </c>
      <c r="D2" s="6">
        <v>49267015</v>
      </c>
      <c r="F2" s="6">
        <f>C2+D2</f>
        <v>558574035</v>
      </c>
      <c r="G2" s="6"/>
      <c r="H2" s="6">
        <v>673566464</v>
      </c>
    </row>
    <row r="3" spans="1:12">
      <c r="A3" s="5">
        <v>2018</v>
      </c>
      <c r="C3" s="6">
        <v>518181264</v>
      </c>
      <c r="D3" s="6">
        <v>17383906</v>
      </c>
      <c r="F3" s="6">
        <f>C3+D3</f>
        <v>535565170</v>
      </c>
      <c r="G3" s="6"/>
      <c r="H3" s="6">
        <v>673566464</v>
      </c>
    </row>
    <row r="4" spans="1:12">
      <c r="A4" s="5">
        <v>2019</v>
      </c>
      <c r="C4" s="6">
        <v>678702574</v>
      </c>
      <c r="D4" s="6">
        <v>34020314</v>
      </c>
      <c r="F4" s="6">
        <f>C4+D4</f>
        <v>712722888</v>
      </c>
      <c r="G4" s="6"/>
      <c r="H4" s="6">
        <v>673566464</v>
      </c>
    </row>
    <row r="5" spans="1:12">
      <c r="A5" s="5">
        <v>2020</v>
      </c>
      <c r="C5" s="6">
        <v>662002916</v>
      </c>
      <c r="D5" s="6">
        <v>66469952</v>
      </c>
      <c r="F5" s="6">
        <f>C5+D5</f>
        <v>728472868</v>
      </c>
      <c r="G5" s="6"/>
      <c r="H5" s="6">
        <v>673566464</v>
      </c>
    </row>
    <row r="6" spans="1:12">
      <c r="A6" s="5">
        <v>2021</v>
      </c>
      <c r="C6" s="6">
        <v>793830403</v>
      </c>
      <c r="D6" s="6">
        <v>38397405</v>
      </c>
      <c r="F6" s="6">
        <f>C6+D6</f>
        <v>832227808</v>
      </c>
      <c r="G6" s="6"/>
      <c r="H6" s="6">
        <v>673566464</v>
      </c>
    </row>
    <row r="7" spans="1:12">
      <c r="A7" s="7">
        <v>2022</v>
      </c>
      <c r="C7" s="8" t="s">
        <v>1</v>
      </c>
      <c r="D7" s="8" t="s">
        <v>1</v>
      </c>
      <c r="F7" s="8"/>
      <c r="G7" s="8">
        <f>'2022 and 2023 Emissions'!H14</f>
        <v>920000848.54453743</v>
      </c>
      <c r="H7" s="8">
        <v>673566464</v>
      </c>
      <c r="J7" s="1"/>
      <c r="K7" s="1"/>
      <c r="L7" s="10"/>
    </row>
    <row r="8" spans="1:12">
      <c r="A8" s="7">
        <v>2023</v>
      </c>
      <c r="C8" s="8" t="s">
        <v>1</v>
      </c>
      <c r="D8" s="8" t="s">
        <v>1</v>
      </c>
      <c r="F8" s="8"/>
      <c r="G8" s="8">
        <f>'2022 and 2023 Emissions'!H15</f>
        <v>656934443.71267962</v>
      </c>
      <c r="H8" s="8">
        <v>673566464</v>
      </c>
      <c r="J8" s="1"/>
      <c r="K8" s="1"/>
      <c r="L8" s="10"/>
    </row>
    <row r="11" spans="1:12">
      <c r="B11" s="3"/>
      <c r="C11" s="3"/>
    </row>
    <row r="12" spans="1:12">
      <c r="B12" s="4"/>
      <c r="C12" s="4"/>
    </row>
    <row r="13" spans="1:12">
      <c r="A13" s="1"/>
      <c r="B13" s="4"/>
      <c r="C13" s="4"/>
      <c r="E13" s="1"/>
      <c r="F13" s="1"/>
      <c r="G13" s="1"/>
      <c r="H13" s="1"/>
    </row>
    <row r="14" spans="1:12">
      <c r="A14" s="1"/>
      <c r="B14" s="4"/>
      <c r="C14" s="4"/>
      <c r="E14" s="1"/>
      <c r="F14" s="1"/>
      <c r="G14" s="1"/>
      <c r="H14" s="1"/>
      <c r="J14" s="1"/>
    </row>
    <row r="15" spans="1:12">
      <c r="A15" s="1"/>
      <c r="B15" s="4"/>
      <c r="C15" s="4"/>
      <c r="E15" s="1"/>
      <c r="F15" s="1"/>
      <c r="G15" s="1"/>
      <c r="H15" s="1"/>
      <c r="J15" s="2"/>
    </row>
    <row r="16" spans="1:12">
      <c r="A16" s="1"/>
      <c r="B16" s="4"/>
      <c r="C16" s="4"/>
      <c r="E16" s="1"/>
      <c r="F16" s="1"/>
      <c r="G16" s="1"/>
      <c r="H16" s="1"/>
    </row>
    <row r="17" spans="1:10">
      <c r="A17" s="1"/>
      <c r="B17" s="4"/>
      <c r="C17" s="4"/>
      <c r="E17" s="1"/>
      <c r="F17" s="1"/>
      <c r="G17" s="1"/>
      <c r="H17" s="1"/>
    </row>
    <row r="18" spans="1:10">
      <c r="B18" s="4"/>
      <c r="C18" s="4"/>
      <c r="J18" s="2"/>
    </row>
    <row r="23" spans="1:10">
      <c r="J23" s="1"/>
    </row>
    <row r="26" spans="1:10">
      <c r="J26" s="10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CF42-74B5-4EF7-B6B3-6008AC5E4E20}">
  <dimension ref="A1:O41"/>
  <sheetViews>
    <sheetView zoomScale="85" zoomScaleNormal="85" workbookViewId="0">
      <selection activeCell="G30" sqref="G30"/>
    </sheetView>
  </sheetViews>
  <sheetFormatPr baseColWidth="10" defaultColWidth="8.83203125" defaultRowHeight="15"/>
  <cols>
    <col min="2" max="2" width="36.6640625" bestFit="1" customWidth="1"/>
    <col min="3" max="3" width="39.5" customWidth="1"/>
    <col min="4" max="4" width="28.5" bestFit="1" customWidth="1"/>
    <col min="5" max="5" width="5.5" customWidth="1"/>
    <col min="6" max="6" width="32.33203125" customWidth="1"/>
    <col min="7" max="7" width="30.5" customWidth="1"/>
    <col min="8" max="8" width="10.6640625" customWidth="1"/>
    <col min="9" max="9" width="11.83203125" bestFit="1" customWidth="1"/>
    <col min="11" max="11" width="14.5" customWidth="1"/>
    <col min="13" max="13" width="13.1640625" customWidth="1"/>
  </cols>
  <sheetData>
    <row r="1" spans="1:15">
      <c r="A1" s="9" t="s">
        <v>0</v>
      </c>
      <c r="B1" s="9" t="s">
        <v>6</v>
      </c>
      <c r="C1" s="9" t="s">
        <v>7</v>
      </c>
      <c r="D1" s="9" t="s">
        <v>4</v>
      </c>
      <c r="F1" s="9" t="s">
        <v>13</v>
      </c>
      <c r="G1" s="9" t="str">
        <f>'Figure 1'!$H$1</f>
        <v>Official National FREL</v>
      </c>
    </row>
    <row r="2" spans="1:15">
      <c r="A2" s="5">
        <v>2017</v>
      </c>
      <c r="B2" s="6">
        <v>504814968.13472211</v>
      </c>
      <c r="C2" s="6">
        <v>138177772.22768989</v>
      </c>
      <c r="D2" s="6">
        <f>AVERAGE(H2:H6)</f>
        <v>729453955.5755589</v>
      </c>
      <c r="F2" s="6">
        <f>'Figure 1'!F2</f>
        <v>558574035</v>
      </c>
      <c r="G2" s="6">
        <f>'Figure 1'!$H$2</f>
        <v>673566464</v>
      </c>
      <c r="H2" s="12">
        <f t="shared" ref="H2:H8" si="0">B2+C2</f>
        <v>642992740.36241198</v>
      </c>
    </row>
    <row r="3" spans="1:15">
      <c r="A3" s="5">
        <v>2018</v>
      </c>
      <c r="B3" s="6">
        <v>512747778.48476946</v>
      </c>
      <c r="C3" s="6">
        <v>64328318.518658698</v>
      </c>
      <c r="D3" s="6">
        <f>D2</f>
        <v>729453955.5755589</v>
      </c>
      <c r="F3" s="6">
        <f>'Figure 1'!F3</f>
        <v>535565170</v>
      </c>
      <c r="G3" s="6">
        <f>G2</f>
        <v>673566464</v>
      </c>
      <c r="H3" s="12">
        <f t="shared" si="0"/>
        <v>577076097.00342822</v>
      </c>
    </row>
    <row r="4" spans="1:15">
      <c r="A4" s="5">
        <v>2019</v>
      </c>
      <c r="B4" s="6">
        <v>669640433.63217413</v>
      </c>
      <c r="C4" s="6">
        <v>101663449.22992247</v>
      </c>
      <c r="D4" s="6">
        <f t="shared" ref="D4:D6" si="1">D3</f>
        <v>729453955.5755589</v>
      </c>
      <c r="F4" s="6">
        <f>'Figure 1'!F4</f>
        <v>712722888</v>
      </c>
      <c r="G4" s="6">
        <f t="shared" ref="G4:G8" si="2">G3</f>
        <v>673566464</v>
      </c>
      <c r="H4" s="12">
        <f t="shared" si="0"/>
        <v>771303882.86209655</v>
      </c>
    </row>
    <row r="5" spans="1:15">
      <c r="A5" s="5">
        <v>2020</v>
      </c>
      <c r="B5" s="6">
        <v>651615154.05905795</v>
      </c>
      <c r="C5" s="6">
        <v>161190520.30257586</v>
      </c>
      <c r="D5" s="6">
        <f t="shared" si="1"/>
        <v>729453955.5755589</v>
      </c>
      <c r="F5" s="6">
        <f>'Figure 1'!F5</f>
        <v>728472868</v>
      </c>
      <c r="G5" s="6">
        <f t="shared" si="2"/>
        <v>673566464</v>
      </c>
      <c r="H5" s="12">
        <f t="shared" si="0"/>
        <v>812805674.36163378</v>
      </c>
    </row>
    <row r="6" spans="1:15">
      <c r="A6" s="5">
        <v>2021</v>
      </c>
      <c r="B6" s="6">
        <v>774439089.33926058</v>
      </c>
      <c r="C6" s="6">
        <v>68652293.948963672</v>
      </c>
      <c r="D6" s="6">
        <f t="shared" si="1"/>
        <v>729453955.5755589</v>
      </c>
      <c r="F6" s="6">
        <f>'Figure 1'!F6</f>
        <v>832227808</v>
      </c>
      <c r="G6" s="6">
        <f t="shared" si="2"/>
        <v>673566464</v>
      </c>
      <c r="H6" s="12">
        <f t="shared" si="0"/>
        <v>843091383.28822422</v>
      </c>
    </row>
    <row r="7" spans="1:15">
      <c r="A7" s="7">
        <v>2022</v>
      </c>
      <c r="B7" s="8">
        <v>848533360.49760962</v>
      </c>
      <c r="C7" s="8">
        <v>134676822.19909376</v>
      </c>
      <c r="D7" s="8">
        <f>D6</f>
        <v>729453955.5755589</v>
      </c>
      <c r="F7" s="8">
        <f>'Figure 1'!G7</f>
        <v>920000848.54453743</v>
      </c>
      <c r="G7" s="8">
        <f t="shared" si="2"/>
        <v>673566464</v>
      </c>
      <c r="H7" s="12">
        <f>B7+C7</f>
        <v>983210182.69670343</v>
      </c>
      <c r="I7" s="1"/>
      <c r="K7" s="1"/>
      <c r="M7" s="1"/>
      <c r="O7" s="2"/>
    </row>
    <row r="8" spans="1:15">
      <c r="A8" s="7">
        <v>2023</v>
      </c>
      <c r="B8" s="8">
        <v>592190242.8729775</v>
      </c>
      <c r="C8" s="8">
        <v>133936755.6163467</v>
      </c>
      <c r="D8" s="8">
        <f>D7</f>
        <v>729453955.5755589</v>
      </c>
      <c r="F8" s="8">
        <f>'Figure 1'!G8</f>
        <v>656934443.71267962</v>
      </c>
      <c r="G8" s="8">
        <f t="shared" si="2"/>
        <v>673566464</v>
      </c>
      <c r="H8" s="12">
        <f t="shared" si="0"/>
        <v>726126998.48932421</v>
      </c>
      <c r="I8" s="1"/>
      <c r="K8" s="1"/>
      <c r="M8" s="1"/>
      <c r="O8" s="2"/>
    </row>
    <row r="11" spans="1:15">
      <c r="A11" s="3"/>
      <c r="B11" s="3"/>
    </row>
    <row r="12" spans="1:15">
      <c r="A12" s="3"/>
      <c r="B12" s="4"/>
    </row>
    <row r="13" spans="1:15">
      <c r="A13" s="3"/>
      <c r="B13" s="4"/>
      <c r="C13" s="1"/>
      <c r="D13" s="1"/>
    </row>
    <row r="14" spans="1:15">
      <c r="A14" s="3"/>
      <c r="B14" s="4"/>
      <c r="C14" s="1"/>
      <c r="D14" s="1"/>
      <c r="L14" s="2"/>
    </row>
    <row r="15" spans="1:15">
      <c r="A15" s="3"/>
      <c r="B15" s="4"/>
      <c r="C15" s="1"/>
      <c r="D15" s="1"/>
      <c r="L15" s="2"/>
    </row>
    <row r="16" spans="1:15">
      <c r="A16" s="3"/>
      <c r="B16" s="4"/>
      <c r="C16" s="1"/>
      <c r="D16" s="1"/>
      <c r="L16" s="2"/>
    </row>
    <row r="17" spans="1:12">
      <c r="A17" s="3"/>
      <c r="B17" s="4"/>
      <c r="C17" s="1"/>
      <c r="D17" s="1"/>
      <c r="L17" s="2"/>
    </row>
    <row r="18" spans="1:12">
      <c r="A18" s="3"/>
      <c r="B18" s="4"/>
      <c r="L18" s="2"/>
    </row>
    <row r="20" spans="1:12">
      <c r="L20" s="2"/>
    </row>
    <row r="24" spans="1:12">
      <c r="G24" s="1"/>
    </row>
    <row r="25" spans="1:12">
      <c r="G25" s="33"/>
    </row>
    <row r="29" spans="1:12">
      <c r="G29" s="2"/>
    </row>
    <row r="30" spans="1:12">
      <c r="G30" s="2"/>
    </row>
    <row r="31" spans="1:12">
      <c r="D31" s="1"/>
      <c r="G31" s="2"/>
    </row>
    <row r="32" spans="1:12">
      <c r="G32" s="2"/>
    </row>
    <row r="33" spans="4:7">
      <c r="D33" s="1"/>
      <c r="G33" s="2"/>
    </row>
    <row r="34" spans="4:7">
      <c r="D34" s="2"/>
      <c r="G34" s="2"/>
    </row>
    <row r="35" spans="4:7">
      <c r="G35" s="2"/>
    </row>
    <row r="37" spans="4:7">
      <c r="D37" s="2"/>
    </row>
    <row r="40" spans="4:7">
      <c r="D40" s="1"/>
    </row>
    <row r="41" spans="4:7">
      <c r="D41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237F-5805-4F40-85AC-796F9BE5D6ED}">
  <dimension ref="A1:I13"/>
  <sheetViews>
    <sheetView workbookViewId="0">
      <selection activeCell="F30" sqref="F30"/>
    </sheetView>
  </sheetViews>
  <sheetFormatPr baseColWidth="10" defaultColWidth="8.83203125" defaultRowHeight="15"/>
  <cols>
    <col min="1" max="1" width="8.1640625" customWidth="1"/>
    <col min="2" max="2" width="73" customWidth="1"/>
    <col min="8" max="8" width="10.5" customWidth="1"/>
    <col min="10" max="10" width="8.33203125" customWidth="1"/>
  </cols>
  <sheetData>
    <row r="1" spans="1:9" ht="27" customHeight="1">
      <c r="A1" s="34" t="s">
        <v>14</v>
      </c>
      <c r="B1" s="35"/>
    </row>
    <row r="2" spans="1:9" ht="17">
      <c r="A2" s="9" t="s">
        <v>0</v>
      </c>
      <c r="B2" s="9" t="s">
        <v>8</v>
      </c>
    </row>
    <row r="3" spans="1:9">
      <c r="A3" s="5">
        <v>2017</v>
      </c>
      <c r="B3" s="6">
        <v>16670</v>
      </c>
    </row>
    <row r="4" spans="1:9">
      <c r="A4" s="5">
        <v>2018</v>
      </c>
      <c r="B4" s="6">
        <v>7841</v>
      </c>
      <c r="D4" s="1"/>
    </row>
    <row r="5" spans="1:9">
      <c r="A5" s="5">
        <v>2019</v>
      </c>
      <c r="B5" s="6">
        <v>11499</v>
      </c>
    </row>
    <row r="6" spans="1:9">
      <c r="A6" s="5">
        <v>2020</v>
      </c>
      <c r="B6" s="6">
        <v>18724</v>
      </c>
    </row>
    <row r="7" spans="1:9">
      <c r="A7" s="5">
        <v>2021</v>
      </c>
      <c r="B7" s="6">
        <v>7257</v>
      </c>
    </row>
    <row r="8" spans="1:9">
      <c r="A8" s="5">
        <v>2022</v>
      </c>
      <c r="B8" s="6">
        <v>15795</v>
      </c>
    </row>
    <row r="9" spans="1:9">
      <c r="A9" s="5">
        <v>2023</v>
      </c>
      <c r="B9" s="6">
        <v>12741</v>
      </c>
    </row>
    <row r="10" spans="1:9">
      <c r="A10" s="5">
        <v>2024</v>
      </c>
      <c r="B10" s="6">
        <v>54551</v>
      </c>
    </row>
    <row r="11" spans="1:9">
      <c r="F11" s="10"/>
    </row>
    <row r="12" spans="1:9">
      <c r="A12" s="36" t="s">
        <v>9</v>
      </c>
      <c r="B12" s="36"/>
      <c r="C12" s="36"/>
      <c r="D12" s="36"/>
      <c r="E12" s="36"/>
      <c r="F12" s="36"/>
      <c r="G12" s="36"/>
      <c r="H12" s="36"/>
      <c r="I12" s="36"/>
    </row>
    <row r="13" spans="1:9">
      <c r="A13" s="36" t="s">
        <v>10</v>
      </c>
      <c r="B13" s="36"/>
    </row>
  </sheetData>
  <mergeCells count="3">
    <mergeCell ref="A1:B1"/>
    <mergeCell ref="A12:I12"/>
    <mergeCell ref="A13:B1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0FE4-336D-4E92-B05B-E6E1C4CE89EE}">
  <dimension ref="A1:M19"/>
  <sheetViews>
    <sheetView zoomScale="115" zoomScaleNormal="115" workbookViewId="0">
      <selection activeCell="I30" sqref="I30"/>
    </sheetView>
  </sheetViews>
  <sheetFormatPr baseColWidth="10" defaultColWidth="8.83203125" defaultRowHeight="15"/>
  <cols>
    <col min="1" max="1" width="8.1640625" customWidth="1"/>
    <col min="2" max="2" width="21.5" customWidth="1"/>
    <col min="3" max="3" width="21.1640625" customWidth="1"/>
    <col min="8" max="8" width="10.5" customWidth="1"/>
    <col min="10" max="10" width="8.33203125" customWidth="1"/>
  </cols>
  <sheetData>
    <row r="1" spans="1:13">
      <c r="A1" s="13"/>
      <c r="B1" s="37" t="s">
        <v>17</v>
      </c>
      <c r="C1" s="38"/>
    </row>
    <row r="2" spans="1:13" ht="17">
      <c r="A2" s="9" t="s">
        <v>0</v>
      </c>
      <c r="B2" s="9" t="s">
        <v>15</v>
      </c>
      <c r="C2" s="9" t="s">
        <v>16</v>
      </c>
    </row>
    <row r="3" spans="1:13">
      <c r="A3" s="5">
        <v>2017</v>
      </c>
      <c r="B3" s="6">
        <v>6758.13</v>
      </c>
      <c r="C3" s="6">
        <v>7117.38</v>
      </c>
    </row>
    <row r="4" spans="1:13">
      <c r="A4" s="5">
        <v>2018</v>
      </c>
      <c r="B4" s="6">
        <v>6958.47</v>
      </c>
      <c r="C4" s="6">
        <v>7259.82</v>
      </c>
      <c r="D4" s="1"/>
    </row>
    <row r="5" spans="1:13">
      <c r="A5" s="5">
        <v>2019</v>
      </c>
      <c r="B5" s="6">
        <v>10703.06</v>
      </c>
      <c r="C5" s="6">
        <v>6319.02</v>
      </c>
    </row>
    <row r="6" spans="1:13">
      <c r="A6" s="5">
        <v>2020</v>
      </c>
      <c r="B6" s="6">
        <v>10355.32</v>
      </c>
      <c r="C6" s="6">
        <v>7905.16</v>
      </c>
    </row>
    <row r="7" spans="1:13">
      <c r="A7" s="5">
        <v>2021</v>
      </c>
      <c r="B7" s="6">
        <v>12191.12</v>
      </c>
      <c r="C7" s="6">
        <v>8531.44</v>
      </c>
    </row>
    <row r="8" spans="1:13">
      <c r="A8" s="5">
        <v>2022</v>
      </c>
      <c r="B8" s="6">
        <v>12479.39</v>
      </c>
      <c r="C8" s="6">
        <v>10688.73</v>
      </c>
    </row>
    <row r="9" spans="1:13">
      <c r="A9" s="5">
        <v>2023</v>
      </c>
      <c r="B9" s="6">
        <v>7812.15</v>
      </c>
      <c r="C9" s="6">
        <v>11011.69</v>
      </c>
    </row>
    <row r="10" spans="1:13">
      <c r="A10" s="5">
        <v>2024</v>
      </c>
      <c r="B10" s="6" t="s">
        <v>24</v>
      </c>
      <c r="C10" s="6">
        <v>8174.17</v>
      </c>
    </row>
    <row r="11" spans="1:13">
      <c r="F11" s="10"/>
    </row>
    <row r="12" spans="1:13">
      <c r="A12" s="39" t="s">
        <v>18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20"/>
    </row>
    <row r="13" spans="1:13">
      <c r="A13" s="39" t="s">
        <v>19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20"/>
    </row>
    <row r="14" spans="1:13">
      <c r="A14" s="39" t="s">
        <v>25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21"/>
    </row>
    <row r="18" spans="3:4">
      <c r="C18" s="1"/>
      <c r="D18" s="1"/>
    </row>
    <row r="19" spans="3:4">
      <c r="C19" s="2"/>
      <c r="D19" s="2"/>
    </row>
  </sheetData>
  <mergeCells count="4">
    <mergeCell ref="B1:C1"/>
    <mergeCell ref="A14:L14"/>
    <mergeCell ref="A13:L13"/>
    <mergeCell ref="A12:L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47AE-1F9E-406B-BBBE-0167BC334EA0}">
  <dimension ref="A1:J31"/>
  <sheetViews>
    <sheetView topLeftCell="B1" workbookViewId="0">
      <selection activeCell="K39" sqref="K39"/>
    </sheetView>
  </sheetViews>
  <sheetFormatPr baseColWidth="10" defaultColWidth="8.83203125" defaultRowHeight="15"/>
  <cols>
    <col min="1" max="1" width="24.33203125" customWidth="1"/>
    <col min="2" max="2" width="18.83203125" customWidth="1"/>
    <col min="5" max="5" width="10.5" bestFit="1" customWidth="1"/>
  </cols>
  <sheetData>
    <row r="1" spans="1:10" ht="18">
      <c r="A1" s="14" t="s">
        <v>20</v>
      </c>
      <c r="B1" s="14" t="s">
        <v>21</v>
      </c>
      <c r="D1" s="40" t="s">
        <v>22</v>
      </c>
      <c r="E1" s="40"/>
      <c r="F1" s="40"/>
      <c r="G1" s="40"/>
      <c r="H1" s="40"/>
      <c r="I1" s="40"/>
      <c r="J1" s="40"/>
    </row>
    <row r="2" spans="1:10">
      <c r="A2" s="15">
        <v>2006</v>
      </c>
      <c r="B2" s="16">
        <v>529930490.25</v>
      </c>
    </row>
    <row r="3" spans="1:10">
      <c r="A3" s="15">
        <v>2007</v>
      </c>
      <c r="B3" s="17">
        <v>497761219.37</v>
      </c>
    </row>
    <row r="4" spans="1:10">
      <c r="A4" s="15">
        <v>2008</v>
      </c>
      <c r="B4" s="17">
        <v>440022301.24000001</v>
      </c>
    </row>
    <row r="5" spans="1:10">
      <c r="A5" s="15">
        <v>2009</v>
      </c>
      <c r="B5" s="16">
        <v>741687139.44000006</v>
      </c>
    </row>
    <row r="6" spans="1:10">
      <c r="A6" s="15">
        <v>2010</v>
      </c>
      <c r="B6" s="16">
        <v>761621104.20000005</v>
      </c>
    </row>
    <row r="7" spans="1:10">
      <c r="A7" s="15">
        <v>2011</v>
      </c>
      <c r="B7" s="16">
        <v>622451671.72000003</v>
      </c>
    </row>
    <row r="8" spans="1:10">
      <c r="A8" s="15">
        <v>2012</v>
      </c>
      <c r="B8" s="16">
        <v>671275311.88999999</v>
      </c>
    </row>
    <row r="9" spans="1:10">
      <c r="A9" s="15">
        <v>2013</v>
      </c>
      <c r="B9" s="16">
        <v>606111615.41999996</v>
      </c>
    </row>
    <row r="10" spans="1:10">
      <c r="A10" s="15">
        <v>2014</v>
      </c>
      <c r="B10" s="16">
        <v>634367865.74000001</v>
      </c>
    </row>
    <row r="11" spans="1:10">
      <c r="A11" s="15">
        <v>2015</v>
      </c>
      <c r="B11" s="16">
        <v>620295262</v>
      </c>
    </row>
    <row r="12" spans="1:10">
      <c r="A12" s="15">
        <v>2011</v>
      </c>
      <c r="B12" s="16">
        <v>159099238</v>
      </c>
    </row>
    <row r="13" spans="1:10">
      <c r="A13" s="15">
        <v>2012</v>
      </c>
      <c r="B13" s="17">
        <v>159099238</v>
      </c>
    </row>
    <row r="14" spans="1:10">
      <c r="A14" s="15">
        <v>2013</v>
      </c>
      <c r="B14" s="17">
        <v>136203956</v>
      </c>
    </row>
    <row r="15" spans="1:10">
      <c r="A15" s="15">
        <v>2014</v>
      </c>
      <c r="B15" s="17">
        <v>170181166</v>
      </c>
    </row>
    <row r="16" spans="1:10">
      <c r="A16" s="15">
        <v>2015</v>
      </c>
      <c r="B16" s="17">
        <v>157885429</v>
      </c>
    </row>
    <row r="17" spans="1:10">
      <c r="A17" s="15">
        <v>2016</v>
      </c>
      <c r="B17" s="17">
        <v>234428859</v>
      </c>
    </row>
    <row r="18" spans="1:10">
      <c r="A18" s="15">
        <v>2017</v>
      </c>
      <c r="B18" s="17">
        <v>221098119</v>
      </c>
    </row>
    <row r="19" spans="1:10">
      <c r="A19" s="15">
        <v>2016</v>
      </c>
      <c r="B19" s="16">
        <v>377344006.02999997</v>
      </c>
    </row>
    <row r="20" spans="1:10">
      <c r="A20" s="15">
        <v>2017</v>
      </c>
      <c r="B20" s="17">
        <v>391656866.92000002</v>
      </c>
    </row>
    <row r="21" spans="1:10">
      <c r="A21" s="15">
        <v>2018</v>
      </c>
      <c r="B21" s="16">
        <v>345428734.49000001</v>
      </c>
    </row>
    <row r="22" spans="1:10">
      <c r="A22" s="15">
        <v>2019</v>
      </c>
      <c r="B22" s="17">
        <v>173538420.53999999</v>
      </c>
    </row>
    <row r="23" spans="1:10">
      <c r="A23" s="15">
        <v>2018</v>
      </c>
      <c r="B23" s="16">
        <v>232957994</v>
      </c>
    </row>
    <row r="24" spans="1:10">
      <c r="A24" s="15">
        <v>2019</v>
      </c>
      <c r="B24" s="17">
        <v>237138558</v>
      </c>
    </row>
    <row r="25" spans="1:10">
      <c r="A25" s="15">
        <v>2020</v>
      </c>
      <c r="B25" s="17">
        <v>227389933</v>
      </c>
      <c r="J25" s="10"/>
    </row>
    <row r="26" spans="1:10">
      <c r="A26" s="18" t="s">
        <v>23</v>
      </c>
      <c r="B26" s="19">
        <f>AVERAGE(B2:B25)</f>
        <v>389540604.13541669</v>
      </c>
      <c r="E26" s="10"/>
    </row>
    <row r="31" spans="1:10">
      <c r="E31" s="10"/>
    </row>
  </sheetData>
  <mergeCells count="1">
    <mergeCell ref="D1:J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90D6-4474-48C5-9F40-1D3B54A5A11B}">
  <dimension ref="A1:L20"/>
  <sheetViews>
    <sheetView zoomScale="85" zoomScaleNormal="85" workbookViewId="0">
      <selection activeCell="F32" sqref="F32"/>
    </sheetView>
  </sheetViews>
  <sheetFormatPr baseColWidth="10" defaultColWidth="8.83203125" defaultRowHeight="15"/>
  <cols>
    <col min="1" max="1" width="14" bestFit="1" customWidth="1"/>
    <col min="3" max="3" width="21.1640625" bestFit="1" customWidth="1"/>
    <col min="4" max="4" width="28.33203125" bestFit="1" customWidth="1"/>
    <col min="5" max="5" width="26.5" bestFit="1" customWidth="1"/>
    <col min="6" max="6" width="28.33203125" bestFit="1" customWidth="1"/>
    <col min="7" max="7" width="21.1640625" customWidth="1"/>
    <col min="8" max="8" width="21.33203125" customWidth="1"/>
    <col min="9" max="9" width="23.6640625" customWidth="1"/>
    <col min="10" max="10" width="23.83203125" customWidth="1"/>
  </cols>
  <sheetData>
    <row r="1" spans="1:12" ht="33.75" customHeight="1">
      <c r="A1" s="22" t="s">
        <v>33</v>
      </c>
      <c r="B1" s="22" t="s">
        <v>0</v>
      </c>
      <c r="C1" s="23" t="s">
        <v>34</v>
      </c>
      <c r="D1" s="22" t="s">
        <v>35</v>
      </c>
      <c r="E1" s="22" t="s">
        <v>36</v>
      </c>
      <c r="F1" s="22" t="s">
        <v>37</v>
      </c>
      <c r="G1" s="23" t="s">
        <v>38</v>
      </c>
      <c r="H1" s="23" t="s">
        <v>39</v>
      </c>
      <c r="I1" s="23" t="s">
        <v>40</v>
      </c>
      <c r="J1" s="23" t="s">
        <v>41</v>
      </c>
    </row>
    <row r="2" spans="1:12">
      <c r="A2" s="25" t="s">
        <v>26</v>
      </c>
      <c r="B2" s="25">
        <v>2022</v>
      </c>
      <c r="C2" s="26">
        <v>505515269</v>
      </c>
      <c r="D2" s="26">
        <v>669986245.77510929</v>
      </c>
      <c r="E2" s="26">
        <f>D2+(D2*-0.0418627619890395)</f>
        <v>641938771.03229582</v>
      </c>
      <c r="F2" s="26">
        <v>56649599.733598158</v>
      </c>
      <c r="G2" s="26">
        <f>E2+F2</f>
        <v>698588370.76589394</v>
      </c>
      <c r="H2" s="27">
        <f>G2*1.009</f>
        <v>704875666.1027869</v>
      </c>
      <c r="I2" s="27">
        <f>C2-H2</f>
        <v>-199360397.1027869</v>
      </c>
      <c r="J2" s="32">
        <f>((I2/C2)*100)*-1</f>
        <v>39.437067350538705</v>
      </c>
      <c r="L2" s="10"/>
    </row>
    <row r="3" spans="1:12">
      <c r="A3" s="25" t="s">
        <v>26</v>
      </c>
      <c r="B3" s="25">
        <v>2023</v>
      </c>
      <c r="C3" s="26">
        <v>505515269</v>
      </c>
      <c r="D3" s="26">
        <v>413560041.77863795</v>
      </c>
      <c r="E3" s="26">
        <f>D3+(D3*-0.0418627619890395)</f>
        <v>396247276.1814816</v>
      </c>
      <c r="F3" s="26">
        <v>46754807.064309984</v>
      </c>
      <c r="G3" s="26">
        <f>E3+F3</f>
        <v>443002083.24579155</v>
      </c>
      <c r="H3" s="27">
        <f>G3*1.009</f>
        <v>446989101.99500364</v>
      </c>
      <c r="I3" s="27">
        <f t="shared" ref="I3:I15" si="0">C3-H3</f>
        <v>58526167.004996359</v>
      </c>
      <c r="J3" s="32">
        <f t="shared" ref="J3:J15" si="1">((I3/C3)*100)*-1</f>
        <v>-11.577527048939912</v>
      </c>
      <c r="L3" s="10"/>
    </row>
    <row r="4" spans="1:12">
      <c r="A4" s="28" t="s">
        <v>28</v>
      </c>
      <c r="B4" s="28">
        <v>2022</v>
      </c>
      <c r="C4" s="29">
        <v>26242349</v>
      </c>
      <c r="D4" s="29">
        <v>32838548.390269801</v>
      </c>
      <c r="E4" s="24" t="s">
        <v>1</v>
      </c>
      <c r="F4" s="24" t="s">
        <v>1</v>
      </c>
      <c r="G4" s="24" t="s">
        <v>1</v>
      </c>
      <c r="H4" s="24">
        <f>D4*1.01864506967843</f>
        <v>33450825.413144875</v>
      </c>
      <c r="I4" s="27">
        <f t="shared" si="0"/>
        <v>-7208476.4131448753</v>
      </c>
      <c r="J4" s="32">
        <f t="shared" si="1"/>
        <v>27.468868785888318</v>
      </c>
    </row>
    <row r="5" spans="1:12">
      <c r="A5" s="28" t="s">
        <v>28</v>
      </c>
      <c r="B5" s="28">
        <v>2023</v>
      </c>
      <c r="C5" s="29">
        <v>26242349</v>
      </c>
      <c r="D5" s="29">
        <v>40240432.344496213</v>
      </c>
      <c r="E5" s="24" t="s">
        <v>1</v>
      </c>
      <c r="F5" s="24" t="s">
        <v>1</v>
      </c>
      <c r="G5" s="24" t="s">
        <v>1</v>
      </c>
      <c r="H5" s="24">
        <f>D5*1.01864506967843</f>
        <v>40990718.009449489</v>
      </c>
      <c r="I5" s="27">
        <f t="shared" si="0"/>
        <v>-14748369.009449489</v>
      </c>
      <c r="J5" s="32">
        <f t="shared" si="1"/>
        <v>56.200643507368532</v>
      </c>
    </row>
    <row r="6" spans="1:12">
      <c r="A6" s="25" t="s">
        <v>27</v>
      </c>
      <c r="B6" s="25">
        <v>2022</v>
      </c>
      <c r="C6" s="26">
        <v>97048732</v>
      </c>
      <c r="D6" s="26">
        <v>147102865.80102536</v>
      </c>
      <c r="E6" s="26">
        <f>D6+(D6*-0.0880887103579795)</f>
        <v>134144764.06265011</v>
      </c>
      <c r="F6" s="27" t="s">
        <v>1</v>
      </c>
      <c r="G6" s="27" t="s">
        <v>1</v>
      </c>
      <c r="H6" s="27">
        <f>E6*0.994609286576602</f>
        <v>133421628.08233902</v>
      </c>
      <c r="I6" s="27">
        <f t="shared" si="0"/>
        <v>-36372896.082339019</v>
      </c>
      <c r="J6" s="32">
        <f t="shared" si="1"/>
        <v>37.479001871285675</v>
      </c>
    </row>
    <row r="7" spans="1:12">
      <c r="A7" s="25" t="s">
        <v>27</v>
      </c>
      <c r="B7" s="25">
        <v>2023</v>
      </c>
      <c r="C7" s="26">
        <v>97048732</v>
      </c>
      <c r="D7" s="26">
        <v>148357550.29244328</v>
      </c>
      <c r="E7" s="26">
        <f>D7+(D7*-0.0880887103579795)</f>
        <v>135288925.01531285</v>
      </c>
      <c r="F7" s="27" t="s">
        <v>1</v>
      </c>
      <c r="G7" s="27" t="s">
        <v>1</v>
      </c>
      <c r="H7" s="27">
        <f>E7*0.994609286576602</f>
        <v>134559621.19119573</v>
      </c>
      <c r="I7" s="27">
        <f t="shared" si="0"/>
        <v>-37510889.191195726</v>
      </c>
      <c r="J7" s="32">
        <f t="shared" si="1"/>
        <v>38.651601538900813</v>
      </c>
    </row>
    <row r="8" spans="1:12">
      <c r="A8" s="28" t="s">
        <v>29</v>
      </c>
      <c r="B8" s="28">
        <v>2022</v>
      </c>
      <c r="C8" s="29">
        <v>34660570</v>
      </c>
      <c r="D8" s="29">
        <v>37566082.745758325</v>
      </c>
      <c r="E8" s="24" t="s">
        <v>1</v>
      </c>
      <c r="F8" s="24" t="s">
        <v>1</v>
      </c>
      <c r="G8" s="24" t="s">
        <v>1</v>
      </c>
      <c r="H8" s="24">
        <f>D8*0.99952133701608</f>
        <v>37548101.252497055</v>
      </c>
      <c r="I8" s="27">
        <f t="shared" si="0"/>
        <v>-2887531.2524970546</v>
      </c>
      <c r="J8" s="32">
        <f t="shared" si="1"/>
        <v>8.3308821883109676</v>
      </c>
    </row>
    <row r="9" spans="1:12">
      <c r="A9" s="28" t="s">
        <v>29</v>
      </c>
      <c r="B9" s="28">
        <v>2023</v>
      </c>
      <c r="C9" s="29">
        <v>34660570</v>
      </c>
      <c r="D9" s="29">
        <v>23869957.944272775</v>
      </c>
      <c r="E9" s="24" t="s">
        <v>1</v>
      </c>
      <c r="F9" s="24" t="s">
        <v>1</v>
      </c>
      <c r="G9" s="24" t="s">
        <v>1</v>
      </c>
      <c r="H9" s="24">
        <f>D9*0.99952133701608</f>
        <v>23858532.278977126</v>
      </c>
      <c r="I9" s="27">
        <f t="shared" si="0"/>
        <v>10802037.721022874</v>
      </c>
      <c r="J9" s="32">
        <f t="shared" si="1"/>
        <v>-31.165205076035608</v>
      </c>
    </row>
    <row r="10" spans="1:12">
      <c r="A10" s="25" t="s">
        <v>30</v>
      </c>
      <c r="B10" s="25">
        <v>2022</v>
      </c>
      <c r="C10" s="26">
        <v>4062706</v>
      </c>
      <c r="D10" s="26">
        <v>4272152.1043191897</v>
      </c>
      <c r="E10" s="27" t="s">
        <v>1</v>
      </c>
      <c r="F10" s="27" t="s">
        <v>1</v>
      </c>
      <c r="G10" s="27" t="s">
        <v>1</v>
      </c>
      <c r="H10" s="27">
        <f>D10*0.966126945902574</f>
        <v>4127441.2649771534</v>
      </c>
      <c r="I10" s="27">
        <f t="shared" si="0"/>
        <v>-64735.264977153391</v>
      </c>
      <c r="J10" s="32">
        <f t="shared" si="1"/>
        <v>1.5934026478202801</v>
      </c>
    </row>
    <row r="11" spans="1:12">
      <c r="A11" s="25" t="s">
        <v>30</v>
      </c>
      <c r="B11" s="25">
        <v>2023</v>
      </c>
      <c r="C11" s="26">
        <v>4062706</v>
      </c>
      <c r="D11" s="26">
        <v>2436966.2195611498</v>
      </c>
      <c r="E11" s="27" t="s">
        <v>1</v>
      </c>
      <c r="F11" s="27" t="s">
        <v>1</v>
      </c>
      <c r="G11" s="27" t="s">
        <v>1</v>
      </c>
      <c r="H11" s="27">
        <f>D11*0.966126945902574</f>
        <v>2354418.7309723552</v>
      </c>
      <c r="I11" s="27">
        <f t="shared" si="0"/>
        <v>1708287.2690276448</v>
      </c>
      <c r="J11" s="32">
        <f t="shared" si="1"/>
        <v>-42.04801600282287</v>
      </c>
    </row>
    <row r="12" spans="1:12">
      <c r="A12" s="28" t="s">
        <v>31</v>
      </c>
      <c r="B12" s="28">
        <v>2022</v>
      </c>
      <c r="C12" s="29">
        <v>6036837</v>
      </c>
      <c r="D12" s="29">
        <v>6565583.4685837105</v>
      </c>
      <c r="E12" s="24" t="s">
        <v>1</v>
      </c>
      <c r="F12" s="24" t="s">
        <v>1</v>
      </c>
      <c r="G12" s="24" t="s">
        <v>1</v>
      </c>
      <c r="H12" s="24">
        <f>D12*1.00176723976846</f>
        <v>6577186.4287925353</v>
      </c>
      <c r="I12" s="27">
        <f t="shared" si="0"/>
        <v>-540349.42879253533</v>
      </c>
      <c r="J12" s="32">
        <f t="shared" si="1"/>
        <v>8.9508699471682824</v>
      </c>
    </row>
    <row r="13" spans="1:12">
      <c r="A13" s="28" t="s">
        <v>31</v>
      </c>
      <c r="B13" s="28">
        <v>2023</v>
      </c>
      <c r="C13" s="29">
        <v>6036837</v>
      </c>
      <c r="D13" s="29">
        <v>8167617.3688533697</v>
      </c>
      <c r="E13" s="24" t="s">
        <v>1</v>
      </c>
      <c r="F13" s="24" t="s">
        <v>1</v>
      </c>
      <c r="G13" s="24" t="s">
        <v>1</v>
      </c>
      <c r="H13" s="24">
        <f>D13*1.00176723976846</f>
        <v>8182051.5070811724</v>
      </c>
      <c r="I13" s="27">
        <f t="shared" si="0"/>
        <v>-2145214.5070811724</v>
      </c>
      <c r="J13" s="32">
        <f t="shared" si="1"/>
        <v>35.535405495976988</v>
      </c>
    </row>
    <row r="14" spans="1:12">
      <c r="A14" s="25" t="s">
        <v>32</v>
      </c>
      <c r="B14" s="25">
        <v>2022</v>
      </c>
      <c r="C14" s="26">
        <v>673566464</v>
      </c>
      <c r="D14" s="31" t="s">
        <v>1</v>
      </c>
      <c r="E14" s="31" t="s">
        <v>1</v>
      </c>
      <c r="F14" s="31" t="s">
        <v>1</v>
      </c>
      <c r="G14" s="31" t="s">
        <v>1</v>
      </c>
      <c r="H14" s="30">
        <f>H2+H6+H4+H8+H10+H12</f>
        <v>920000848.54453743</v>
      </c>
      <c r="I14" s="27">
        <f t="shared" si="0"/>
        <v>-246434384.54453743</v>
      </c>
      <c r="J14" s="32">
        <f t="shared" si="1"/>
        <v>36.586498544045305</v>
      </c>
    </row>
    <row r="15" spans="1:12">
      <c r="A15" s="25" t="s">
        <v>32</v>
      </c>
      <c r="B15" s="25">
        <v>2023</v>
      </c>
      <c r="C15" s="26">
        <v>673566464</v>
      </c>
      <c r="D15" s="31" t="s">
        <v>1</v>
      </c>
      <c r="E15" s="31" t="s">
        <v>1</v>
      </c>
      <c r="F15" s="31" t="s">
        <v>1</v>
      </c>
      <c r="G15" s="31" t="s">
        <v>1</v>
      </c>
      <c r="H15" s="30">
        <f>H3+H7+H5+H9+H11+H13</f>
        <v>656934443.71267962</v>
      </c>
      <c r="I15" s="27">
        <f t="shared" si="0"/>
        <v>16632020.287320375</v>
      </c>
      <c r="J15" s="32">
        <f t="shared" si="1"/>
        <v>-2.4692470864048803</v>
      </c>
    </row>
    <row r="20" spans="10:10">
      <c r="J2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Figure 1</vt:lpstr>
      <vt:lpstr>Figure 4</vt:lpstr>
      <vt:lpstr>DETER Degradation 2017-2024</vt:lpstr>
      <vt:lpstr>PRODES Deforestation 2017-2024</vt:lpstr>
      <vt:lpstr>Brazil's REDD+ Results</vt:lpstr>
      <vt:lpstr>2022 and 2023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celso.junior</dc:creator>
  <cp:lastModifiedBy>Celso Henrique Leite Silva Junior</cp:lastModifiedBy>
  <dcterms:created xsi:type="dcterms:W3CDTF">2024-10-20T20:43:43Z</dcterms:created>
  <dcterms:modified xsi:type="dcterms:W3CDTF">2026-08-09T20:14:27Z</dcterms:modified>
</cp:coreProperties>
</file>