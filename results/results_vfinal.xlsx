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Celso\Desktop\"/>
    </mc:Choice>
  </mc:AlternateContent>
  <xr:revisionPtr revIDLastSave="0" documentId="13_ncr:1_{981E02EB-334B-4623-B7BF-5A74DDD2EE57}" xr6:coauthVersionLast="47" xr6:coauthVersionMax="47" xr10:uidLastSave="{00000000-0000-0000-0000-000000000000}"/>
  <bookViews>
    <workbookView xWindow="1905" yWindow="1905" windowWidth="19770" windowHeight="12855" firstSheet="3" activeTab="4" xr2:uid="{00000000-000D-0000-FFFF-FFFF00000000}"/>
  </bookViews>
  <sheets>
    <sheet name="Figure 1" sheetId="11" r:id="rId1"/>
    <sheet name="Figure 2" sheetId="15" r:id="rId2"/>
    <sheet name="DETER Degradation 2017-2024" sheetId="17" r:id="rId3"/>
    <sheet name="PRODES Deforestation 2017-2024" sheetId="16" r:id="rId4"/>
    <sheet name="Brazil's REDD+ Results" sheetId="18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8" l="1"/>
  <c r="F8" i="15"/>
  <c r="F7" i="15"/>
  <c r="F3" i="15"/>
  <c r="F4" i="15"/>
  <c r="F5" i="15"/>
  <c r="F6" i="15"/>
  <c r="F2" i="15"/>
  <c r="D2" i="15"/>
  <c r="H2" i="15"/>
  <c r="F2" i="11"/>
  <c r="G2" i="15"/>
  <c r="G3" i="15" s="1"/>
  <c r="G4" i="15" s="1"/>
  <c r="G5" i="15" s="1"/>
  <c r="G6" i="15" s="1"/>
  <c r="G7" i="15" s="1"/>
  <c r="G8" i="15" s="1"/>
  <c r="G1" i="15"/>
  <c r="H3" i="15"/>
  <c r="H4" i="15"/>
  <c r="H5" i="15"/>
  <c r="H6" i="15"/>
  <c r="H7" i="15"/>
  <c r="H8" i="15"/>
  <c r="F6" i="11"/>
  <c r="F5" i="11"/>
  <c r="F4" i="11"/>
  <c r="F3" i="11"/>
  <c r="D3" i="15" l="1"/>
  <c r="D4" i="15" l="1"/>
  <c r="D5" i="15" l="1"/>
  <c r="D6" i="15" s="1"/>
  <c r="D7" i="15" s="1"/>
  <c r="D8" i="15" s="1"/>
</calcChain>
</file>

<file path=xl/sharedStrings.xml><?xml version="1.0" encoding="utf-8"?>
<sst xmlns="http://schemas.openxmlformats.org/spreadsheetml/2006/main" count="30" uniqueCount="24">
  <si>
    <t>Year</t>
  </si>
  <si>
    <t>-</t>
  </si>
  <si>
    <t>Official FREL Emissions</t>
  </si>
  <si>
    <t>Official National FREL</t>
  </si>
  <si>
    <t>Modified National FREL</t>
  </si>
  <si>
    <t>Estimated FREL Emissions</t>
  </si>
  <si>
    <t>Emissions from Deforestation</t>
  </si>
  <si>
    <t>Emissions from Degradation</t>
  </si>
  <si>
    <r>
      <t>Area (km</t>
    </r>
    <r>
      <rPr>
        <b/>
        <vertAlign val="superscript"/>
        <sz val="11"/>
        <color rgb="FF000000"/>
        <rFont val="Calibri"/>
        <family val="2"/>
        <scheme val="minor"/>
      </rPr>
      <t>2</t>
    </r>
    <r>
      <rPr>
        <b/>
        <sz val="11"/>
        <color rgb="FF000000"/>
        <rFont val="Calibri"/>
        <family val="2"/>
        <scheme val="minor"/>
      </rPr>
      <t>)</t>
    </r>
  </si>
  <si>
    <r>
      <rPr>
        <b/>
        <sz val="11"/>
        <color rgb="FF000000"/>
        <rFont val="Calibri"/>
        <family val="2"/>
        <scheme val="minor"/>
      </rPr>
      <t>Accessed on</t>
    </r>
    <r>
      <rPr>
        <sz val="11"/>
        <color rgb="FF000000"/>
        <rFont val="Calibri"/>
        <family val="2"/>
        <scheme val="minor"/>
      </rPr>
      <t>: https://terrabrasilis.dpi.inpe.br/app/dashboard/alerts/biomes/amazonia-nb/aggregated</t>
    </r>
  </si>
  <si>
    <r>
      <rPr>
        <b/>
        <sz val="11"/>
        <color rgb="FF000000"/>
        <rFont val="Calibri"/>
        <family val="2"/>
        <scheme val="minor"/>
      </rPr>
      <t>Access date</t>
    </r>
    <r>
      <rPr>
        <sz val="11"/>
        <color rgb="FF000000"/>
        <rFont val="Calibri"/>
        <family val="2"/>
        <scheme val="minor"/>
      </rPr>
      <t>: January 7, 2025</t>
    </r>
  </si>
  <si>
    <t>Official FREL Emissions (Deforestation)</t>
  </si>
  <si>
    <t>Official FREL Emissions (Degradation)</t>
  </si>
  <si>
    <t>Emissions from Figure 1</t>
  </si>
  <si>
    <t>Forest Fires, Disordered Selective Logging and Geometric Selective Logging</t>
  </si>
  <si>
    <r>
      <t>Amazon biome (km</t>
    </r>
    <r>
      <rPr>
        <b/>
        <vertAlign val="superscript"/>
        <sz val="11"/>
        <color rgb="FF000000"/>
        <rFont val="Calibri"/>
        <family val="2"/>
        <scheme val="minor"/>
      </rPr>
      <t>2</t>
    </r>
    <r>
      <rPr>
        <b/>
        <sz val="11"/>
        <color rgb="FF000000"/>
        <rFont val="Calibri"/>
        <family val="2"/>
        <scheme val="minor"/>
      </rPr>
      <t>)</t>
    </r>
  </si>
  <si>
    <r>
      <t>Cerrado biome (km</t>
    </r>
    <r>
      <rPr>
        <b/>
        <vertAlign val="superscript"/>
        <sz val="11"/>
        <color rgb="FF000000"/>
        <rFont val="Calibri"/>
        <family val="2"/>
        <scheme val="minor"/>
      </rPr>
      <t>2</t>
    </r>
    <r>
      <rPr>
        <b/>
        <sz val="11"/>
        <color rgb="FF000000"/>
        <rFont val="Calibri"/>
        <family val="2"/>
        <scheme val="minor"/>
      </rPr>
      <t>)</t>
    </r>
  </si>
  <si>
    <t>Deforestation Increment Area</t>
  </si>
  <si>
    <r>
      <rPr>
        <b/>
        <sz val="11"/>
        <color rgb="FF000000"/>
        <rFont val="Calibri"/>
        <family val="2"/>
        <scheme val="minor"/>
      </rPr>
      <t>Accessed on</t>
    </r>
    <r>
      <rPr>
        <sz val="11"/>
        <color rgb="FF000000"/>
        <rFont val="Calibri"/>
        <family val="2"/>
        <scheme val="minor"/>
      </rPr>
      <t>: https://terrabrasilis.dpi.inpe.br/app/dashboard/deforestation/biomes</t>
    </r>
  </si>
  <si>
    <r>
      <rPr>
        <b/>
        <sz val="11"/>
        <color rgb="FF000000"/>
        <rFont val="Calibri"/>
        <family val="2"/>
        <scheme val="minor"/>
      </rPr>
      <t>Access date</t>
    </r>
    <r>
      <rPr>
        <sz val="11"/>
        <color rgb="FF000000"/>
        <rFont val="Calibri"/>
        <family val="2"/>
        <scheme val="minor"/>
      </rPr>
      <t>:April 7, 2025</t>
    </r>
  </si>
  <si>
    <t xml:space="preserve">Year </t>
  </si>
  <si>
    <r>
      <t>t CO</t>
    </r>
    <r>
      <rPr>
        <b/>
        <vertAlign val="subscript"/>
        <sz val="11"/>
        <rFont val="Inherit"/>
      </rPr>
      <t>2</t>
    </r>
    <r>
      <rPr>
        <b/>
        <sz val="11"/>
        <rFont val="Inherit"/>
      </rPr>
      <t xml:space="preserve"> eq/year</t>
    </r>
  </si>
  <si>
    <r>
      <rPr>
        <b/>
        <sz val="11"/>
        <color theme="1"/>
        <rFont val="Calibri"/>
        <family val="2"/>
        <scheme val="minor"/>
      </rPr>
      <t>Source</t>
    </r>
    <r>
      <rPr>
        <sz val="11"/>
        <color rgb="FF000000"/>
        <rFont val="Calibri"/>
        <family val="2"/>
        <scheme val="minor"/>
      </rPr>
      <t>: https://redd.unfccc.int/submissions.html?country=bra</t>
    </r>
  </si>
  <si>
    <t>Average (2006-2020)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</si>
</sst>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b/>
      <vertAlign val="superscript"/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Inherit"/>
    </font>
    <font>
      <b/>
      <vertAlign val="subscript"/>
      <sz val="11"/>
      <name val="Inherit"/>
    </font>
    <font>
      <sz val="11"/>
      <color rgb="FF000000"/>
      <name val="Inherit"/>
    </font>
    <font>
      <sz val="11"/>
      <color rgb="FF000000"/>
      <name val="Camingodos_probold"/>
    </font>
    <font>
      <b/>
      <sz val="11"/>
      <color theme="0"/>
      <name val="Inherit"/>
    </font>
    <font>
      <b/>
      <sz val="11"/>
      <color theme="0"/>
      <name val="Camingodos_probold"/>
    </font>
  </fonts>
  <fills count="5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3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3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horizontal="left"/>
    </xf>
    <xf numFmtId="0" fontId="2" fillId="0" borderId="1" xfId="0" applyFont="1" applyBorder="1" applyAlignment="1">
      <alignment horizontal="center" vertical="center" wrapText="1"/>
    </xf>
    <xf numFmtId="3" fontId="3" fillId="0" borderId="0" xfId="0" applyNumberFormat="1" applyFont="1"/>
    <xf numFmtId="3" fontId="2" fillId="0" borderId="2" xfId="0" applyNumberFormat="1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3" fontId="2" fillId="0" borderId="2" xfId="0" applyNumberFormat="1" applyFont="1" applyBorder="1" applyAlignment="1">
      <alignment horizontal="center" vertical="center"/>
    </xf>
    <xf numFmtId="3" fontId="2" fillId="0" borderId="3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0" fillId="0" borderId="0" xfId="0"/>
    <xf numFmtId="1" fontId="8" fillId="0" borderId="1" xfId="0" applyNumberFormat="1" applyFont="1" applyBorder="1" applyAlignment="1">
      <alignment vertical="center"/>
    </xf>
    <xf numFmtId="4" fontId="9" fillId="0" borderId="1" xfId="0" applyNumberFormat="1" applyFont="1" applyBorder="1" applyAlignment="1">
      <alignment vertical="center"/>
    </xf>
    <xf numFmtId="4" fontId="9" fillId="0" borderId="1" xfId="0" applyNumberFormat="1" applyFont="1" applyBorder="1" applyAlignment="1">
      <alignment horizontal="right" vertical="center"/>
    </xf>
    <xf numFmtId="1" fontId="10" fillId="4" borderId="1" xfId="0" applyNumberFormat="1" applyFont="1" applyFill="1" applyBorder="1" applyAlignment="1">
      <alignment horizontal="right" vertical="top"/>
    </xf>
    <xf numFmtId="4" fontId="11" fillId="4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E6C6A"/>
      <color rgb="FFE8C75A"/>
      <color rgb="FFF5F4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1"/>
          <c:tx>
            <c:strRef>
              <c:f>'Figure 1'!$G$1</c:f>
              <c:strCache>
                <c:ptCount val="1"/>
                <c:pt idx="0">
                  <c:v>Estimated FREL Emissions</c:v>
                </c:pt>
              </c:strCache>
            </c:strRef>
          </c:tx>
          <c:spPr>
            <a:solidFill>
              <a:srgbClr val="DE6C6A">
                <a:alpha val="50196"/>
              </a:srgbClr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'Figure 1'!$A$2:$A$8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1'!$G$2:$G$8</c:f>
              <c:numCache>
                <c:formatCode>#,##0</c:formatCode>
                <c:ptCount val="7"/>
                <c:pt idx="5">
                  <c:v>920735155.03783298</c:v>
                </c:pt>
                <c:pt idx="6">
                  <c:v>658193102.64530003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1-4099-A53F-3E5554E5C118}"/>
            </c:ext>
          </c:extLst>
        </c:ser>
        <c:ser>
          <c:idx val="1"/>
          <c:order val="2"/>
          <c:tx>
            <c:strRef>
              <c:f>'Figure 1'!$F$1</c:f>
              <c:strCache>
                <c:ptCount val="1"/>
                <c:pt idx="0">
                  <c:v>Official FREL Emissions</c:v>
                </c:pt>
              </c:strCache>
            </c:strRef>
          </c:tx>
          <c:spPr>
            <a:solidFill>
              <a:srgbClr val="DE6C6A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'Figure 1'!$A$2:$A$8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1'!$F$2:$F$8</c:f>
              <c:numCache>
                <c:formatCode>#,##0</c:formatCode>
                <c:ptCount val="7"/>
                <c:pt idx="0">
                  <c:v>558574035</c:v>
                </c:pt>
                <c:pt idx="1">
                  <c:v>535565170</c:v>
                </c:pt>
                <c:pt idx="2">
                  <c:v>712722888</c:v>
                </c:pt>
                <c:pt idx="3">
                  <c:v>728472868</c:v>
                </c:pt>
                <c:pt idx="4">
                  <c:v>832227808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1-4099-A53F-3E5554E5C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566953023"/>
        <c:axId val="566967423"/>
      </c:barChart>
      <c:lineChart>
        <c:grouping val="standard"/>
        <c:varyColors val="0"/>
        <c:ser>
          <c:idx val="2"/>
          <c:order val="0"/>
          <c:tx>
            <c:strRef>
              <c:f>'Figure 1'!$H$1</c:f>
              <c:strCache>
                <c:ptCount val="1"/>
                <c:pt idx="0">
                  <c:v>Official National FREL</c:v>
                </c:pt>
              </c:strCache>
            </c:strRef>
          </c:tx>
          <c:spPr>
            <a:ln w="25400" cap="rnd">
              <a:solidFill>
                <a:schemeClr val="tx1">
                  <a:lumMod val="85000"/>
                  <a:lumOff val="1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2969126475619012E-2"/>
                  <c:y val="-2.1038468313002608E-2"/>
                </c:manualLayout>
              </c:layout>
              <c:tx>
                <c:rich>
                  <a:bodyPr/>
                  <a:lstStyle/>
                  <a:p>
                    <a:fld id="{7A83FEE2-3F09-45D2-BFF6-E35BB926736A}" type="VALUE">
                      <a:rPr lang="en-US"/>
                      <a:pPr/>
                      <a:t>[VALOR]</a:t>
                    </a:fld>
                    <a:r>
                      <a:rPr lang="en-US" b="1"/>
                      <a:t>*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C701-4099-A53F-3E5554E5C11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701-4099-A53F-3E5554E5C11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01-4099-A53F-3E5554E5C11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01-4099-A53F-3E5554E5C11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701-4099-A53F-3E5554E5C11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01-4099-A53F-3E5554E5C118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701-4099-A53F-3E5554E5C11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'Figure 1'!$A$2:$A$8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1'!$H$2:$H$8</c:f>
              <c:numCache>
                <c:formatCode>#,##0</c:formatCode>
                <c:ptCount val="7"/>
                <c:pt idx="0">
                  <c:v>673566464</c:v>
                </c:pt>
                <c:pt idx="1">
                  <c:v>673566464</c:v>
                </c:pt>
                <c:pt idx="2">
                  <c:v>673566464</c:v>
                </c:pt>
                <c:pt idx="3">
                  <c:v>673566464</c:v>
                </c:pt>
                <c:pt idx="4">
                  <c:v>673566464</c:v>
                </c:pt>
                <c:pt idx="5">
                  <c:v>673566464</c:v>
                </c:pt>
                <c:pt idx="6">
                  <c:v>673566464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701-4099-A53F-3E5554E5C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953023"/>
        <c:axId val="566967423"/>
      </c:lineChart>
      <c:catAx>
        <c:axId val="566953023"/>
        <c:scaling>
          <c:orientation val="minMax"/>
        </c:scaling>
        <c:delete val="0"/>
        <c:axPos val="b"/>
        <c:numFmt formatCode="General" sourceLinked="1"/>
        <c:majorTickMark val="none"/>
        <c:minorTickMark val="out"/>
        <c:tickLblPos val="nextTo"/>
        <c:spPr>
          <a:noFill/>
          <a:ln w="12700" cap="flat" cmpd="sng" algn="ctr">
            <a:solidFill>
              <a:schemeClr val="tx1">
                <a:lumMod val="85000"/>
                <a:lumOff val="1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pt-BR"/>
          </a:p>
        </c:txPr>
        <c:crossAx val="566967423"/>
        <c:crosses val="autoZero"/>
        <c:auto val="1"/>
        <c:lblAlgn val="ctr"/>
        <c:lblOffset val="100"/>
        <c:noMultiLvlLbl val="0"/>
      </c:catAx>
      <c:valAx>
        <c:axId val="566967423"/>
        <c:scaling>
          <c:orientation val="minMax"/>
          <c:max val="12000000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r>
                  <a:rPr lang="pt-BR" sz="1200" b="0" i="0" u="none" strike="noStrike" baseline="0"/>
                  <a:t>tons</a:t>
                </a:r>
                <a:r>
                  <a:rPr lang="pt-BR" baseline="0"/>
                  <a:t> CO</a:t>
                </a:r>
                <a:r>
                  <a:rPr lang="pt-BR" baseline="-25000"/>
                  <a:t>2</a:t>
                </a:r>
                <a:r>
                  <a:rPr lang="pt-BR" baseline="0"/>
                  <a:t> eq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Montserrat" pitchFamily="2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 w="12700">
            <a:solidFill>
              <a:schemeClr val="tx1">
                <a:lumMod val="85000"/>
                <a:lumOff val="1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pt-BR"/>
          </a:p>
        </c:txPr>
        <c:crossAx val="566953023"/>
        <c:crosses val="autoZero"/>
        <c:crossBetween val="between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85000"/>
                          <a:lumOff val="15000"/>
                        </a:schemeClr>
                      </a:solidFill>
                      <a:latin typeface="Montserrat" pitchFamily="2" charset="0"/>
                      <a:ea typeface="+mn-ea"/>
                      <a:cs typeface="+mn-cs"/>
                    </a:defRPr>
                  </a:pPr>
                  <a:r>
                    <a:rPr lang="pt-BR" b="0" i="0">
                      <a:effectLst/>
                    </a:rPr>
                    <a:t>Millions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ontserrat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chemeClr val="tx1">
              <a:lumMod val="85000"/>
              <a:lumOff val="15000"/>
            </a:schemeClr>
          </a:solidFill>
          <a:latin typeface="Montserrat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'Figure 2'!$B$1</c:f>
              <c:strCache>
                <c:ptCount val="1"/>
                <c:pt idx="0">
                  <c:v>Emissions from Deforestation</c:v>
                </c:pt>
              </c:strCache>
            </c:strRef>
          </c:tx>
          <c:spPr>
            <a:solidFill>
              <a:srgbClr val="E8C75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'Figure 2'!$A$2:$A$8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2'!$B$2:$B$8</c:f>
              <c:numCache>
                <c:formatCode>#,##0</c:formatCode>
                <c:ptCount val="7"/>
                <c:pt idx="0">
                  <c:v>533165823.25416672</c:v>
                </c:pt>
                <c:pt idx="1">
                  <c:v>541331921.62073648</c:v>
                </c:pt>
                <c:pt idx="2">
                  <c:v>707576800.17118704</c:v>
                </c:pt>
                <c:pt idx="3">
                  <c:v>689900789.51474166</c:v>
                </c:pt>
                <c:pt idx="4">
                  <c:v>820085222.95261741</c:v>
                </c:pt>
                <c:pt idx="5">
                  <c:v>899553082.27684653</c:v>
                </c:pt>
                <c:pt idx="6">
                  <c:v>629969720.22822881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5D-4801-9BB5-E85E31EEB590}"/>
            </c:ext>
          </c:extLst>
        </c:ser>
        <c:ser>
          <c:idx val="0"/>
          <c:order val="2"/>
          <c:tx>
            <c:strRef>
              <c:f>'Figure 2'!$C$1</c:f>
              <c:strCache>
                <c:ptCount val="1"/>
                <c:pt idx="0">
                  <c:v>Emissions from Degradation</c:v>
                </c:pt>
              </c:strCache>
            </c:strRef>
          </c:tx>
          <c:spPr>
            <a:solidFill>
              <a:srgbClr val="E8C75A">
                <a:alpha val="50196"/>
              </a:srgb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-4.838369202896864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15D-4801-9BB5-E85E31EEB590}"/>
                </c:ext>
              </c:extLst>
            </c:dLbl>
            <c:dLbl>
              <c:idx val="2"/>
              <c:layout>
                <c:manualLayout>
                  <c:x val="0"/>
                  <c:y val="-5.95143758814353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15D-4801-9BB5-E85E31EEB590}"/>
                </c:ext>
              </c:extLst>
            </c:dLbl>
            <c:dLbl>
              <c:idx val="3"/>
              <c:layout>
                <c:manualLayout>
                  <c:x val="-5.3978774772108706E-17"/>
                  <c:y val="-8.79703643774053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15D-4801-9BB5-E85E31EEB590}"/>
                </c:ext>
              </c:extLst>
            </c:dLbl>
            <c:dLbl>
              <c:idx val="4"/>
              <c:layout>
                <c:manualLayout>
                  <c:x val="-5.4155237993242562E-17"/>
                  <c:y val="-5.27822094861475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15D-4801-9BB5-E85E31EEB590}"/>
                </c:ext>
              </c:extLst>
            </c:dLbl>
            <c:dLbl>
              <c:idx val="6"/>
              <c:layout>
                <c:manualLayout>
                  <c:x val="0"/>
                  <c:y val="-8.57710904149897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15D-4801-9BB5-E85E31EEB59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'Figure 2'!$A$2:$A$8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2'!$C$2:$C$8</c:f>
              <c:numCache>
                <c:formatCode>#,##0</c:formatCode>
                <c:ptCount val="7"/>
                <c:pt idx="0">
                  <c:v>125796280.56986836</c:v>
                </c:pt>
                <c:pt idx="1">
                  <c:v>59780455.881444469</c:v>
                </c:pt>
                <c:pt idx="2">
                  <c:v>94686661.454995841</c:v>
                </c:pt>
                <c:pt idx="3">
                  <c:v>149309040.01167968</c:v>
                </c:pt>
                <c:pt idx="4">
                  <c:v>66350418.975199275</c:v>
                </c:pt>
                <c:pt idx="5">
                  <c:v>125763648.80060382</c:v>
                </c:pt>
                <c:pt idx="6">
                  <c:v>125815206.50573097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5D-4801-9BB5-E85E31EEB5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566953023"/>
        <c:axId val="566967423"/>
      </c:barChart>
      <c:lineChart>
        <c:grouping val="standard"/>
        <c:varyColors val="0"/>
        <c:ser>
          <c:idx val="2"/>
          <c:order val="0"/>
          <c:tx>
            <c:strRef>
              <c:f>'Figure 2'!$D$1</c:f>
              <c:strCache>
                <c:ptCount val="1"/>
                <c:pt idx="0">
                  <c:v>Modified National FREL</c:v>
                </c:pt>
              </c:strCache>
            </c:strRef>
          </c:tx>
          <c:spPr>
            <a:ln w="28575" cap="rnd">
              <a:solidFill>
                <a:schemeClr val="tx1">
                  <a:lumMod val="85000"/>
                  <a:lumOff val="1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3249488683336988E-2"/>
                  <c:y val="-1.7594072875481065E-2"/>
                </c:manualLayout>
              </c:layout>
              <c:tx>
                <c:rich>
                  <a:bodyPr/>
                  <a:lstStyle/>
                  <a:p>
                    <a:fld id="{05662178-54F5-47B4-AD66-2AFF4A387F6D}" type="VALUE">
                      <a:rPr lang="en-US"/>
                      <a:pPr/>
                      <a:t>[VALOR]</a:t>
                    </a:fld>
                    <a:r>
                      <a:rPr lang="en-US" b="1"/>
                      <a:t>*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E15D-4801-9BB5-E85E31EEB59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15D-4801-9BB5-E85E31EEB59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15D-4801-9BB5-E85E31EEB59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15D-4801-9BB5-E85E31EEB59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15D-4801-9BB5-E85E31EEB59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15D-4801-9BB5-E85E31EEB59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15D-4801-9BB5-E85E31EEB59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'Figure 2'!#REF!</c:f>
            </c:multiLvlStrRef>
          </c:cat>
          <c:val>
            <c:numRef>
              <c:f>'Figure 2'!$D$2:$D$8</c:f>
              <c:numCache>
                <c:formatCode>#,##0</c:formatCode>
                <c:ptCount val="7"/>
                <c:pt idx="0">
                  <c:v>757596682.88132727</c:v>
                </c:pt>
                <c:pt idx="1">
                  <c:v>757596682.88132727</c:v>
                </c:pt>
                <c:pt idx="2">
                  <c:v>757596682.88132727</c:v>
                </c:pt>
                <c:pt idx="3">
                  <c:v>757596682.88132727</c:v>
                </c:pt>
                <c:pt idx="4">
                  <c:v>757596682.88132727</c:v>
                </c:pt>
                <c:pt idx="5">
                  <c:v>757596682.88132727</c:v>
                </c:pt>
                <c:pt idx="6">
                  <c:v>757596682.88132727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15D-4801-9BB5-E85E31EEB590}"/>
            </c:ext>
          </c:extLst>
        </c:ser>
        <c:ser>
          <c:idx val="4"/>
          <c:order val="3"/>
          <c:tx>
            <c:strRef>
              <c:f>'Figure 2'!$G$1</c:f>
              <c:strCache>
                <c:ptCount val="1"/>
                <c:pt idx="0">
                  <c:v>Official National FREL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multiLvlStrRef>
              <c:f>'Figure 2'!#REF!</c:f>
            </c:multiLvlStrRef>
          </c:cat>
          <c:val>
            <c:numRef>
              <c:f>'Figure 2'!$G$2:$G$8</c:f>
              <c:numCache>
                <c:formatCode>#,##0</c:formatCode>
                <c:ptCount val="7"/>
                <c:pt idx="0">
                  <c:v>673566464</c:v>
                </c:pt>
                <c:pt idx="1">
                  <c:v>673566464</c:v>
                </c:pt>
                <c:pt idx="2">
                  <c:v>673566464</c:v>
                </c:pt>
                <c:pt idx="3">
                  <c:v>673566464</c:v>
                </c:pt>
                <c:pt idx="4">
                  <c:v>673566464</c:v>
                </c:pt>
                <c:pt idx="5">
                  <c:v>673566464</c:v>
                </c:pt>
                <c:pt idx="6">
                  <c:v>673566464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15D-4801-9BB5-E85E31EEB590}"/>
            </c:ext>
          </c:extLst>
        </c:ser>
        <c:ser>
          <c:idx val="3"/>
          <c:order val="4"/>
          <c:tx>
            <c:v>Emissions from Fig. 1</c:v>
          </c:tx>
          <c:spPr>
            <a:ln w="28575" cap="rnd">
              <a:solidFill>
                <a:srgbClr val="DE6C6A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DE6C6A"/>
              </a:solidFill>
              <a:ln w="28575">
                <a:solidFill>
                  <a:srgbClr val="DE6C6A"/>
                </a:solidFill>
                <a:prstDash val="solid"/>
              </a:ln>
              <a:effectLst/>
            </c:spPr>
          </c:marker>
          <c:cat>
            <c:multiLvlStrRef>
              <c:f>'Figure 2'!#REF!</c:f>
            </c:multiLvlStrRef>
          </c:cat>
          <c:val>
            <c:numRef>
              <c:f>'Figure 2'!$F$2:$F$8</c:f>
              <c:numCache>
                <c:formatCode>#,##0</c:formatCode>
                <c:ptCount val="7"/>
                <c:pt idx="0">
                  <c:v>558574035</c:v>
                </c:pt>
                <c:pt idx="1">
                  <c:v>535565170</c:v>
                </c:pt>
                <c:pt idx="2">
                  <c:v>712722888</c:v>
                </c:pt>
                <c:pt idx="3">
                  <c:v>728472868</c:v>
                </c:pt>
                <c:pt idx="4">
                  <c:v>832227808</c:v>
                </c:pt>
                <c:pt idx="5">
                  <c:v>920735155.03783298</c:v>
                </c:pt>
                <c:pt idx="6">
                  <c:v>658193102.64530003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15D-4801-9BB5-E85E31EEB5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953023"/>
        <c:axId val="566967423"/>
      </c:lineChart>
      <c:catAx>
        <c:axId val="566953023"/>
        <c:scaling>
          <c:orientation val="minMax"/>
        </c:scaling>
        <c:delete val="0"/>
        <c:axPos val="b"/>
        <c:numFmt formatCode="General" sourceLinked="1"/>
        <c:majorTickMark val="none"/>
        <c:minorTickMark val="out"/>
        <c:tickLblPos val="nextTo"/>
        <c:spPr>
          <a:noFill/>
          <a:ln w="12700" cap="flat" cmpd="sng" algn="ctr">
            <a:solidFill>
              <a:schemeClr val="tx1">
                <a:lumMod val="85000"/>
                <a:lumOff val="1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pt-BR"/>
          </a:p>
        </c:txPr>
        <c:crossAx val="566967423"/>
        <c:crosses val="autoZero"/>
        <c:auto val="1"/>
        <c:lblAlgn val="ctr"/>
        <c:lblOffset val="100"/>
        <c:noMultiLvlLbl val="0"/>
      </c:catAx>
      <c:valAx>
        <c:axId val="566967423"/>
        <c:scaling>
          <c:orientation val="minMax"/>
          <c:max val="12000000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r>
                  <a:rPr lang="pt-BR" sz="1200" b="0" i="0" u="none" strike="noStrike" baseline="0"/>
                  <a:t>tons</a:t>
                </a:r>
                <a:r>
                  <a:rPr lang="pt-BR" baseline="0"/>
                  <a:t> CO</a:t>
                </a:r>
                <a:r>
                  <a:rPr lang="pt-BR" baseline="-25000"/>
                  <a:t>2</a:t>
                </a:r>
                <a:r>
                  <a:rPr lang="pt-BR" baseline="0"/>
                  <a:t> eq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Montserrat" pitchFamily="2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 w="12700">
            <a:solidFill>
              <a:schemeClr val="tx1">
                <a:lumMod val="85000"/>
                <a:lumOff val="1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pt-BR"/>
          </a:p>
        </c:txPr>
        <c:crossAx val="566953023"/>
        <c:crosses val="autoZero"/>
        <c:crossBetween val="between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85000"/>
                          <a:lumOff val="15000"/>
                        </a:schemeClr>
                      </a:solidFill>
                      <a:latin typeface="Montserrat" pitchFamily="2" charset="0"/>
                      <a:ea typeface="+mn-ea"/>
                      <a:cs typeface="+mn-cs"/>
                    </a:defRPr>
                  </a:pPr>
                  <a:r>
                    <a:rPr lang="pt-BR" b="0" i="0">
                      <a:effectLst/>
                    </a:rPr>
                    <a:t>Millions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ontserrat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chemeClr val="tx1">
              <a:lumMod val="85000"/>
              <a:lumOff val="15000"/>
            </a:schemeClr>
          </a:solidFill>
          <a:latin typeface="Montserrat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640</xdr:colOff>
      <xdr:row>9</xdr:row>
      <xdr:rowOff>80802</xdr:rowOff>
    </xdr:from>
    <xdr:to>
      <xdr:col>6</xdr:col>
      <xdr:colOff>2041176</xdr:colOff>
      <xdr:row>41</xdr:row>
      <xdr:rowOff>104802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CEB52E8-14C7-4E7F-87EC-01AF1B8740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80670</xdr:colOff>
      <xdr:row>8</xdr:row>
      <xdr:rowOff>148064</xdr:rowOff>
    </xdr:from>
    <xdr:to>
      <xdr:col>5</xdr:col>
      <xdr:colOff>1032634</xdr:colOff>
      <xdr:row>40</xdr:row>
      <xdr:rowOff>172064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0E62346-D36B-42B3-BE99-4BB2C83F64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E9525-7C4D-42FA-A23D-D0CEA7AFCD11}">
  <dimension ref="A1:H18"/>
  <sheetViews>
    <sheetView zoomScale="70" zoomScaleNormal="70" workbookViewId="0">
      <selection activeCell="I34" sqref="I34"/>
    </sheetView>
  </sheetViews>
  <sheetFormatPr defaultRowHeight="15"/>
  <cols>
    <col min="1" max="1" width="10.140625" customWidth="1"/>
    <col min="2" max="2" width="4.140625" customWidth="1"/>
    <col min="3" max="3" width="23.28515625" customWidth="1"/>
    <col min="4" max="4" width="24.42578125" customWidth="1"/>
    <col min="5" max="5" width="4.7109375" customWidth="1"/>
    <col min="6" max="6" width="32.140625" customWidth="1"/>
    <col min="7" max="7" width="31.28515625" customWidth="1"/>
    <col min="8" max="8" width="29.42578125" customWidth="1"/>
  </cols>
  <sheetData>
    <row r="1" spans="1:8" ht="48.75" customHeight="1">
      <c r="A1" s="9" t="s">
        <v>0</v>
      </c>
      <c r="C1" s="12" t="s">
        <v>11</v>
      </c>
      <c r="D1" s="12" t="s">
        <v>12</v>
      </c>
      <c r="F1" s="9" t="s">
        <v>2</v>
      </c>
      <c r="G1" s="9" t="s">
        <v>5</v>
      </c>
      <c r="H1" s="9" t="s">
        <v>3</v>
      </c>
    </row>
    <row r="2" spans="1:8">
      <c r="A2" s="5">
        <v>2017</v>
      </c>
      <c r="C2" s="6">
        <v>509307020</v>
      </c>
      <c r="D2" s="6">
        <v>49267015</v>
      </c>
      <c r="F2" s="6">
        <f>C2+D2</f>
        <v>558574035</v>
      </c>
      <c r="G2" s="6"/>
      <c r="H2" s="6">
        <v>673566464</v>
      </c>
    </row>
    <row r="3" spans="1:8">
      <c r="A3" s="5">
        <v>2018</v>
      </c>
      <c r="C3" s="6">
        <v>518181264</v>
      </c>
      <c r="D3" s="6">
        <v>17383906</v>
      </c>
      <c r="F3" s="6">
        <f>C3+D3</f>
        <v>535565170</v>
      </c>
      <c r="G3" s="6"/>
      <c r="H3" s="6">
        <v>673566464</v>
      </c>
    </row>
    <row r="4" spans="1:8">
      <c r="A4" s="5">
        <v>2019</v>
      </c>
      <c r="C4" s="6">
        <v>678702574</v>
      </c>
      <c r="D4" s="6">
        <v>34020314</v>
      </c>
      <c r="F4" s="6">
        <f>C4+D4</f>
        <v>712722888</v>
      </c>
      <c r="G4" s="6"/>
      <c r="H4" s="6">
        <v>673566464</v>
      </c>
    </row>
    <row r="5" spans="1:8">
      <c r="A5" s="5">
        <v>2020</v>
      </c>
      <c r="C5" s="6">
        <v>662002916</v>
      </c>
      <c r="D5" s="6">
        <v>66469952</v>
      </c>
      <c r="F5" s="6">
        <f>C5+D5</f>
        <v>728472868</v>
      </c>
      <c r="G5" s="6"/>
      <c r="H5" s="6">
        <v>673566464</v>
      </c>
    </row>
    <row r="6" spans="1:8">
      <c r="A6" s="5">
        <v>2021</v>
      </c>
      <c r="C6" s="6">
        <v>793830403</v>
      </c>
      <c r="D6" s="6">
        <v>38397405</v>
      </c>
      <c r="F6" s="6">
        <f>C6+D6</f>
        <v>832227808</v>
      </c>
      <c r="G6" s="6"/>
      <c r="H6" s="6">
        <v>673566464</v>
      </c>
    </row>
    <row r="7" spans="1:8">
      <c r="A7" s="7">
        <v>2022</v>
      </c>
      <c r="C7" s="8" t="s">
        <v>1</v>
      </c>
      <c r="D7" s="8" t="s">
        <v>1</v>
      </c>
      <c r="F7" s="8"/>
      <c r="G7" s="8">
        <v>920735155.03783298</v>
      </c>
      <c r="H7" s="8">
        <v>673566464</v>
      </c>
    </row>
    <row r="8" spans="1:8">
      <c r="A8" s="7">
        <v>2023</v>
      </c>
      <c r="C8" s="8" t="s">
        <v>1</v>
      </c>
      <c r="D8" s="8" t="s">
        <v>1</v>
      </c>
      <c r="F8" s="8"/>
      <c r="G8" s="8">
        <v>658193102.64530003</v>
      </c>
      <c r="H8" s="8">
        <v>673566464</v>
      </c>
    </row>
    <row r="11" spans="1:8">
      <c r="B11" s="3"/>
      <c r="C11" s="3"/>
    </row>
    <row r="12" spans="1:8">
      <c r="B12" s="4"/>
      <c r="C12" s="4"/>
    </row>
    <row r="13" spans="1:8">
      <c r="A13" s="1"/>
      <c r="B13" s="4"/>
      <c r="C13" s="4"/>
      <c r="E13" s="1"/>
      <c r="F13" s="1"/>
      <c r="G13" s="1"/>
      <c r="H13" s="1"/>
    </row>
    <row r="14" spans="1:8">
      <c r="A14" s="1"/>
      <c r="B14" s="4"/>
      <c r="C14" s="4"/>
      <c r="E14" s="1"/>
      <c r="F14" s="1"/>
      <c r="G14" s="1"/>
      <c r="H14" s="1"/>
    </row>
    <row r="15" spans="1:8">
      <c r="A15" s="1"/>
      <c r="B15" s="4"/>
      <c r="C15" s="4"/>
      <c r="E15" s="1"/>
      <c r="F15" s="1"/>
      <c r="G15" s="1"/>
      <c r="H15" s="1"/>
    </row>
    <row r="16" spans="1:8">
      <c r="A16" s="1"/>
      <c r="B16" s="4"/>
      <c r="C16" s="4"/>
      <c r="E16" s="1"/>
      <c r="F16" s="1"/>
      <c r="G16" s="1"/>
      <c r="H16" s="1"/>
    </row>
    <row r="17" spans="1:8">
      <c r="A17" s="1"/>
      <c r="B17" s="4"/>
      <c r="C17" s="4"/>
      <c r="E17" s="1"/>
      <c r="F17" s="1"/>
      <c r="G17" s="1"/>
      <c r="H17" s="1"/>
    </row>
    <row r="18" spans="1:8">
      <c r="B18" s="4"/>
      <c r="C18" s="4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ACF42-74B5-4EF7-B6B3-6008AC5E4E20}">
  <dimension ref="A1:H41"/>
  <sheetViews>
    <sheetView zoomScale="70" zoomScaleNormal="70" workbookViewId="0">
      <selection activeCell="G39" sqref="G39"/>
    </sheetView>
  </sheetViews>
  <sheetFormatPr defaultRowHeight="15"/>
  <cols>
    <col min="2" max="3" width="36.7109375" bestFit="1" customWidth="1"/>
    <col min="4" max="4" width="27.85546875" bestFit="1" customWidth="1"/>
    <col min="5" max="5" width="4.7109375" customWidth="1"/>
    <col min="6" max="6" width="21.85546875" bestFit="1" customWidth="1"/>
    <col min="7" max="8" width="19.42578125" bestFit="1" customWidth="1"/>
    <col min="9" max="9" width="10.7109375" customWidth="1"/>
  </cols>
  <sheetData>
    <row r="1" spans="1:8">
      <c r="A1" s="9" t="s">
        <v>0</v>
      </c>
      <c r="B1" s="9" t="s">
        <v>6</v>
      </c>
      <c r="C1" s="9" t="s">
        <v>7</v>
      </c>
      <c r="D1" s="9" t="s">
        <v>4</v>
      </c>
      <c r="F1" s="9" t="s">
        <v>13</v>
      </c>
      <c r="G1" s="9" t="str">
        <f>'Figure 1'!$H$1</f>
        <v>Official National FREL</v>
      </c>
    </row>
    <row r="2" spans="1:8">
      <c r="A2" s="5">
        <v>2017</v>
      </c>
      <c r="B2" s="6">
        <v>533165823.25416672</v>
      </c>
      <c r="C2" s="6">
        <v>125796280.56986836</v>
      </c>
      <c r="D2" s="6">
        <f>AVERAGE(H2:H6)</f>
        <v>757596682.88132727</v>
      </c>
      <c r="F2" s="6">
        <f>'Figure 1'!F2</f>
        <v>558574035</v>
      </c>
      <c r="G2" s="6">
        <f>'Figure 1'!$H$2</f>
        <v>673566464</v>
      </c>
      <c r="H2" s="13">
        <f t="shared" ref="H2:H8" si="0">B2+C2</f>
        <v>658962103.82403505</v>
      </c>
    </row>
    <row r="3" spans="1:8">
      <c r="A3" s="5">
        <v>2018</v>
      </c>
      <c r="B3" s="6">
        <v>541331921.62073648</v>
      </c>
      <c r="C3" s="6">
        <v>59780455.881444469</v>
      </c>
      <c r="D3" s="6">
        <f>D2</f>
        <v>757596682.88132727</v>
      </c>
      <c r="F3" s="6">
        <f>'Figure 1'!F3</f>
        <v>535565170</v>
      </c>
      <c r="G3" s="6">
        <f>G2</f>
        <v>673566464</v>
      </c>
      <c r="H3" s="13">
        <f t="shared" si="0"/>
        <v>601112377.50218093</v>
      </c>
    </row>
    <row r="4" spans="1:8">
      <c r="A4" s="5">
        <v>2019</v>
      </c>
      <c r="B4" s="6">
        <v>707576800.17118704</v>
      </c>
      <c r="C4" s="6">
        <v>94686661.454995841</v>
      </c>
      <c r="D4" s="6">
        <f t="shared" ref="D4:D6" si="1">D3</f>
        <v>757596682.88132727</v>
      </c>
      <c r="F4" s="6">
        <f>'Figure 1'!F4</f>
        <v>712722888</v>
      </c>
      <c r="G4" s="6">
        <f t="shared" ref="G4:G8" si="2">G3</f>
        <v>673566464</v>
      </c>
      <c r="H4" s="13">
        <f t="shared" si="0"/>
        <v>802263461.62618291</v>
      </c>
    </row>
    <row r="5" spans="1:8">
      <c r="A5" s="5">
        <v>2020</v>
      </c>
      <c r="B5" s="6">
        <v>689900789.51474166</v>
      </c>
      <c r="C5" s="6">
        <v>149309040.01167968</v>
      </c>
      <c r="D5" s="6">
        <f t="shared" si="1"/>
        <v>757596682.88132727</v>
      </c>
      <c r="F5" s="6">
        <f>'Figure 1'!F5</f>
        <v>728472868</v>
      </c>
      <c r="G5" s="6">
        <f t="shared" si="2"/>
        <v>673566464</v>
      </c>
      <c r="H5" s="13">
        <f t="shared" si="0"/>
        <v>839209829.52642131</v>
      </c>
    </row>
    <row r="6" spans="1:8">
      <c r="A6" s="5">
        <v>2021</v>
      </c>
      <c r="B6" s="6">
        <v>820085222.95261741</v>
      </c>
      <c r="C6" s="6">
        <v>66350418.975199275</v>
      </c>
      <c r="D6" s="6">
        <f t="shared" si="1"/>
        <v>757596682.88132727</v>
      </c>
      <c r="F6" s="6">
        <f>'Figure 1'!F6</f>
        <v>832227808</v>
      </c>
      <c r="G6" s="6">
        <f t="shared" si="2"/>
        <v>673566464</v>
      </c>
      <c r="H6" s="13">
        <f t="shared" si="0"/>
        <v>886435641.92781663</v>
      </c>
    </row>
    <row r="7" spans="1:8">
      <c r="A7" s="7">
        <v>2022</v>
      </c>
      <c r="B7" s="8">
        <v>899553082.27684653</v>
      </c>
      <c r="C7" s="8">
        <v>125763648.80060382</v>
      </c>
      <c r="D7" s="8">
        <f>D6</f>
        <v>757596682.88132727</v>
      </c>
      <c r="F7" s="8">
        <f>'Figure 1'!G7</f>
        <v>920735155.03783298</v>
      </c>
      <c r="G7" s="8">
        <f t="shared" si="2"/>
        <v>673566464</v>
      </c>
      <c r="H7" s="13">
        <f t="shared" si="0"/>
        <v>1025316731.0774504</v>
      </c>
    </row>
    <row r="8" spans="1:8">
      <c r="A8" s="7">
        <v>2023</v>
      </c>
      <c r="B8" s="8">
        <v>629969720.22822881</v>
      </c>
      <c r="C8" s="8">
        <v>125815206.50573097</v>
      </c>
      <c r="D8" s="8">
        <f>D7</f>
        <v>757596682.88132727</v>
      </c>
      <c r="F8" s="8">
        <f>'Figure 1'!G8</f>
        <v>658193102.64530003</v>
      </c>
      <c r="G8" s="8">
        <f t="shared" si="2"/>
        <v>673566464</v>
      </c>
      <c r="H8" s="13">
        <f t="shared" si="0"/>
        <v>755784926.73395979</v>
      </c>
    </row>
    <row r="11" spans="1:8">
      <c r="A11" s="3"/>
      <c r="B11" s="3"/>
      <c r="C11" s="3"/>
    </row>
    <row r="12" spans="1:8">
      <c r="A12" s="3"/>
      <c r="B12" s="4"/>
      <c r="C12" s="4"/>
    </row>
    <row r="13" spans="1:8">
      <c r="A13" s="3"/>
      <c r="B13" s="4"/>
      <c r="C13" s="4"/>
      <c r="D13" s="1"/>
      <c r="E13" s="1"/>
    </row>
    <row r="14" spans="1:8">
      <c r="A14" s="3"/>
      <c r="B14" s="4"/>
      <c r="C14" s="4"/>
      <c r="D14" s="1"/>
      <c r="E14" s="1"/>
    </row>
    <row r="15" spans="1:8">
      <c r="A15" s="3"/>
      <c r="B15" s="4"/>
      <c r="C15" s="4"/>
      <c r="D15" s="1"/>
      <c r="E15" s="1"/>
    </row>
    <row r="16" spans="1:8">
      <c r="A16" s="3"/>
      <c r="B16" s="4"/>
      <c r="C16" s="4"/>
      <c r="D16" s="1"/>
      <c r="E16" s="1"/>
    </row>
    <row r="17" spans="1:5">
      <c r="A17" s="3"/>
      <c r="B17" s="4"/>
      <c r="C17" s="4"/>
      <c r="D17" s="1"/>
      <c r="E17" s="1"/>
    </row>
    <row r="18" spans="1:5">
      <c r="A18" s="3"/>
      <c r="B18" s="4"/>
      <c r="C18" s="4"/>
    </row>
    <row r="31" spans="1:5">
      <c r="E31" s="1"/>
    </row>
    <row r="32" spans="1:5">
      <c r="C32" s="1"/>
    </row>
    <row r="33" spans="3:5">
      <c r="C33" s="1"/>
      <c r="E33" s="1"/>
    </row>
    <row r="34" spans="3:5">
      <c r="E34" s="2"/>
    </row>
    <row r="37" spans="3:5">
      <c r="C37" s="1"/>
      <c r="E37" s="2"/>
    </row>
    <row r="40" spans="3:5">
      <c r="C40" s="1"/>
      <c r="E40" s="1"/>
    </row>
    <row r="41" spans="3:5">
      <c r="E41" s="1"/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237F-5805-4F40-85AC-796F9BE5D6ED}">
  <dimension ref="A1:I13"/>
  <sheetViews>
    <sheetView workbookViewId="0">
      <selection activeCell="C27" sqref="C27"/>
    </sheetView>
  </sheetViews>
  <sheetFormatPr defaultRowHeight="15"/>
  <cols>
    <col min="1" max="1" width="8.140625" customWidth="1"/>
    <col min="2" max="2" width="21.42578125" customWidth="1"/>
    <col min="8" max="8" width="10.5703125" customWidth="1"/>
    <col min="10" max="10" width="8.28515625" customWidth="1"/>
  </cols>
  <sheetData>
    <row r="1" spans="1:9" ht="49.5" customHeight="1">
      <c r="A1" s="15" t="s">
        <v>14</v>
      </c>
      <c r="B1" s="16"/>
    </row>
    <row r="2" spans="1:9" ht="17.25">
      <c r="A2" s="9" t="s">
        <v>0</v>
      </c>
      <c r="B2" s="9" t="s">
        <v>8</v>
      </c>
    </row>
    <row r="3" spans="1:9">
      <c r="A3" s="5">
        <v>2017</v>
      </c>
      <c r="B3" s="6">
        <v>16670</v>
      </c>
    </row>
    <row r="4" spans="1:9">
      <c r="A4" s="5">
        <v>2018</v>
      </c>
      <c r="B4" s="6">
        <v>7841</v>
      </c>
      <c r="D4" s="1"/>
    </row>
    <row r="5" spans="1:9">
      <c r="A5" s="5">
        <v>2019</v>
      </c>
      <c r="B5" s="6">
        <v>11499</v>
      </c>
    </row>
    <row r="6" spans="1:9">
      <c r="A6" s="5">
        <v>2020</v>
      </c>
      <c r="B6" s="6">
        <v>18724</v>
      </c>
    </row>
    <row r="7" spans="1:9">
      <c r="A7" s="5">
        <v>2021</v>
      </c>
      <c r="B7" s="6">
        <v>7257</v>
      </c>
    </row>
    <row r="8" spans="1:9">
      <c r="A8" s="5">
        <v>2022</v>
      </c>
      <c r="B8" s="6">
        <v>15795</v>
      </c>
    </row>
    <row r="9" spans="1:9">
      <c r="A9" s="5">
        <v>2023</v>
      </c>
      <c r="B9" s="6">
        <v>12741</v>
      </c>
    </row>
    <row r="10" spans="1:9">
      <c r="A10" s="5">
        <v>2024</v>
      </c>
      <c r="B10" s="6">
        <v>54551</v>
      </c>
    </row>
    <row r="11" spans="1:9">
      <c r="F11" s="10"/>
    </row>
    <row r="12" spans="1:9">
      <c r="A12" s="17" t="s">
        <v>9</v>
      </c>
      <c r="B12" s="17"/>
      <c r="C12" s="17"/>
      <c r="D12" s="17"/>
      <c r="E12" s="17"/>
      <c r="F12" s="17"/>
      <c r="G12" s="17"/>
      <c r="H12" s="17"/>
      <c r="I12" s="17"/>
    </row>
    <row r="13" spans="1:9">
      <c r="A13" s="17" t="s">
        <v>10</v>
      </c>
      <c r="B13" s="17"/>
    </row>
  </sheetData>
  <mergeCells count="3">
    <mergeCell ref="A1:B1"/>
    <mergeCell ref="A12:I12"/>
    <mergeCell ref="A13:B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00FE4-336D-4E92-B05B-E6E1C4CE89EE}">
  <dimension ref="A1:I19"/>
  <sheetViews>
    <sheetView workbookViewId="0">
      <selection activeCell="D25" sqref="D25"/>
    </sheetView>
  </sheetViews>
  <sheetFormatPr defaultRowHeight="15"/>
  <cols>
    <col min="1" max="1" width="8.140625" customWidth="1"/>
    <col min="2" max="2" width="21.42578125" customWidth="1"/>
    <col min="3" max="3" width="21.140625" customWidth="1"/>
    <col min="8" max="8" width="10.5703125" customWidth="1"/>
    <col min="10" max="10" width="8.28515625" customWidth="1"/>
  </cols>
  <sheetData>
    <row r="1" spans="1:9">
      <c r="A1" s="14"/>
      <c r="B1" s="18" t="s">
        <v>17</v>
      </c>
      <c r="C1" s="19"/>
    </row>
    <row r="2" spans="1:9" ht="17.25">
      <c r="A2" s="9" t="s">
        <v>0</v>
      </c>
      <c r="B2" s="9" t="s">
        <v>15</v>
      </c>
      <c r="C2" s="9" t="s">
        <v>16</v>
      </c>
    </row>
    <row r="3" spans="1:9">
      <c r="A3" s="5">
        <v>2017</v>
      </c>
      <c r="B3" s="6">
        <v>6758.13</v>
      </c>
      <c r="C3" s="6">
        <v>7117.38</v>
      </c>
    </row>
    <row r="4" spans="1:9">
      <c r="A4" s="5">
        <v>2018</v>
      </c>
      <c r="B4" s="6">
        <v>6958.47</v>
      </c>
      <c r="C4" s="6">
        <v>7259.82</v>
      </c>
      <c r="D4" s="1"/>
    </row>
    <row r="5" spans="1:9">
      <c r="A5" s="5">
        <v>2019</v>
      </c>
      <c r="B5" s="6">
        <v>10703.06</v>
      </c>
      <c r="C5" s="6">
        <v>6319.02</v>
      </c>
    </row>
    <row r="6" spans="1:9">
      <c r="A6" s="5">
        <v>2020</v>
      </c>
      <c r="B6" s="6">
        <v>10355.32</v>
      </c>
      <c r="C6" s="6">
        <v>7905.16</v>
      </c>
    </row>
    <row r="7" spans="1:9">
      <c r="A7" s="5">
        <v>2021</v>
      </c>
      <c r="B7" s="6">
        <v>12191.12</v>
      </c>
      <c r="C7" s="6">
        <v>8531.44</v>
      </c>
    </row>
    <row r="8" spans="1:9">
      <c r="A8" s="5">
        <v>2022</v>
      </c>
      <c r="B8" s="6">
        <v>12479.39</v>
      </c>
      <c r="C8" s="6">
        <v>10688.73</v>
      </c>
    </row>
    <row r="9" spans="1:9">
      <c r="A9" s="5">
        <v>2023</v>
      </c>
      <c r="B9" s="6">
        <v>7812.15</v>
      </c>
      <c r="C9" s="6">
        <v>11011.69</v>
      </c>
    </row>
    <row r="10" spans="1:9">
      <c r="A10" s="5">
        <v>2024</v>
      </c>
      <c r="B10" s="6">
        <v>5704.24</v>
      </c>
      <c r="C10" s="6">
        <v>8174.17</v>
      </c>
    </row>
    <row r="11" spans="1:9">
      <c r="F11" s="10"/>
    </row>
    <row r="12" spans="1:9">
      <c r="A12" s="17" t="s">
        <v>18</v>
      </c>
      <c r="B12" s="17"/>
      <c r="C12" s="17"/>
      <c r="D12" s="17"/>
      <c r="E12" s="17"/>
      <c r="F12" s="17"/>
      <c r="I12" s="11"/>
    </row>
    <row r="13" spans="1:9">
      <c r="A13" s="17" t="s">
        <v>19</v>
      </c>
      <c r="B13" s="17"/>
    </row>
    <row r="18" spans="3:4">
      <c r="C18" s="1"/>
      <c r="D18" s="1"/>
    </row>
    <row r="19" spans="3:4">
      <c r="C19" s="2"/>
      <c r="D19" s="2"/>
    </row>
  </sheetData>
  <mergeCells count="3">
    <mergeCell ref="B1:C1"/>
    <mergeCell ref="A12:F12"/>
    <mergeCell ref="A13:B13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47AE-1F9E-406B-BBBE-0167BC334EA0}">
  <dimension ref="A1:J26"/>
  <sheetViews>
    <sheetView tabSelected="1" workbookViewId="0">
      <selection activeCell="G13" sqref="G13"/>
    </sheetView>
  </sheetViews>
  <sheetFormatPr defaultRowHeight="15"/>
  <cols>
    <col min="1" max="1" width="24.28515625" customWidth="1"/>
    <col min="2" max="2" width="15.42578125" bestFit="1" customWidth="1"/>
  </cols>
  <sheetData>
    <row r="1" spans="1:10" ht="16.5">
      <c r="A1" s="20" t="s">
        <v>20</v>
      </c>
      <c r="B1" s="20" t="s">
        <v>21</v>
      </c>
      <c r="D1" s="21" t="s">
        <v>22</v>
      </c>
      <c r="E1" s="21"/>
      <c r="F1" s="21"/>
      <c r="G1" s="21"/>
      <c r="H1" s="21"/>
      <c r="I1" s="21"/>
      <c r="J1" s="21"/>
    </row>
    <row r="2" spans="1:10">
      <c r="A2" s="22">
        <v>2006</v>
      </c>
      <c r="B2" s="23">
        <v>529930490.25</v>
      </c>
    </row>
    <row r="3" spans="1:10">
      <c r="A3" s="22">
        <v>2007</v>
      </c>
      <c r="B3" s="24">
        <v>497761219.37</v>
      </c>
    </row>
    <row r="4" spans="1:10">
      <c r="A4" s="22">
        <v>2008</v>
      </c>
      <c r="B4" s="24">
        <v>440022301.24000001</v>
      </c>
    </row>
    <row r="5" spans="1:10">
      <c r="A5" s="22">
        <v>2009</v>
      </c>
      <c r="B5" s="23">
        <v>741687139.44000006</v>
      </c>
    </row>
    <row r="6" spans="1:10">
      <c r="A6" s="22">
        <v>2010</v>
      </c>
      <c r="B6" s="23">
        <v>761621104.20000005</v>
      </c>
    </row>
    <row r="7" spans="1:10">
      <c r="A7" s="22">
        <v>2011</v>
      </c>
      <c r="B7" s="23">
        <v>622451671.72000003</v>
      </c>
    </row>
    <row r="8" spans="1:10">
      <c r="A8" s="22">
        <v>2012</v>
      </c>
      <c r="B8" s="23">
        <v>671275311.88999999</v>
      </c>
    </row>
    <row r="9" spans="1:10">
      <c r="A9" s="22">
        <v>2013</v>
      </c>
      <c r="B9" s="23">
        <v>606111615.41999996</v>
      </c>
    </row>
    <row r="10" spans="1:10">
      <c r="A10" s="22">
        <v>2014</v>
      </c>
      <c r="B10" s="23">
        <v>634367865.74000001</v>
      </c>
    </row>
    <row r="11" spans="1:10">
      <c r="A11" s="22">
        <v>2015</v>
      </c>
      <c r="B11" s="23">
        <v>620295262</v>
      </c>
    </row>
    <row r="12" spans="1:10">
      <c r="A12" s="22">
        <v>2011</v>
      </c>
      <c r="B12" s="23">
        <v>159099238</v>
      </c>
    </row>
    <row r="13" spans="1:10">
      <c r="A13" s="22">
        <v>2012</v>
      </c>
      <c r="B13" s="24">
        <v>159099238</v>
      </c>
    </row>
    <row r="14" spans="1:10">
      <c r="A14" s="22">
        <v>2013</v>
      </c>
      <c r="B14" s="24">
        <v>136203956</v>
      </c>
    </row>
    <row r="15" spans="1:10">
      <c r="A15" s="22">
        <v>2014</v>
      </c>
      <c r="B15" s="24">
        <v>170181166</v>
      </c>
    </row>
    <row r="16" spans="1:10">
      <c r="A16" s="22">
        <v>2015</v>
      </c>
      <c r="B16" s="24">
        <v>157885429</v>
      </c>
    </row>
    <row r="17" spans="1:5">
      <c r="A17" s="22">
        <v>2016</v>
      </c>
      <c r="B17" s="24">
        <v>234428859</v>
      </c>
    </row>
    <row r="18" spans="1:5">
      <c r="A18" s="22">
        <v>2017</v>
      </c>
      <c r="B18" s="24">
        <v>221098119</v>
      </c>
    </row>
    <row r="19" spans="1:5">
      <c r="A19" s="22">
        <v>2016</v>
      </c>
      <c r="B19" s="23">
        <v>377344006.02999997</v>
      </c>
    </row>
    <row r="20" spans="1:5">
      <c r="A20" s="22">
        <v>2017</v>
      </c>
      <c r="B20" s="24">
        <v>391656866.92000002</v>
      </c>
    </row>
    <row r="21" spans="1:5">
      <c r="A21" s="22">
        <v>2018</v>
      </c>
      <c r="B21" s="23">
        <v>345428734.49000001</v>
      </c>
    </row>
    <row r="22" spans="1:5">
      <c r="A22" s="22">
        <v>2019</v>
      </c>
      <c r="B22" s="24">
        <v>173538420.53999999</v>
      </c>
    </row>
    <row r="23" spans="1:5">
      <c r="A23" s="22">
        <v>2018</v>
      </c>
      <c r="B23" s="23">
        <v>232957994</v>
      </c>
    </row>
    <row r="24" spans="1:5">
      <c r="A24" s="22">
        <v>2019</v>
      </c>
      <c r="B24" s="24">
        <v>237138558</v>
      </c>
    </row>
    <row r="25" spans="1:5">
      <c r="A25" s="22">
        <v>2020</v>
      </c>
      <c r="B25" s="24">
        <v>227389933</v>
      </c>
    </row>
    <row r="26" spans="1:5">
      <c r="A26" s="25" t="s">
        <v>23</v>
      </c>
      <c r="B26" s="26">
        <f>AVERAGE(B2:B25)</f>
        <v>389540604.13541669</v>
      </c>
      <c r="E26" s="10"/>
    </row>
  </sheetData>
  <mergeCells count="1">
    <mergeCell ref="D1:J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Figure 1</vt:lpstr>
      <vt:lpstr>Figure 2</vt:lpstr>
      <vt:lpstr>DETER Degradation 2017-2024</vt:lpstr>
      <vt:lpstr>PRODES Deforestation 2017-2024</vt:lpstr>
      <vt:lpstr>Brazil's REDD+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celso.junior</dc:creator>
  <cp:lastModifiedBy>Celso H. L. Silva Junior</cp:lastModifiedBy>
  <dcterms:created xsi:type="dcterms:W3CDTF">2024-10-20T20:43:43Z</dcterms:created>
  <dcterms:modified xsi:type="dcterms:W3CDTF">2025-06-02T16:10:32Z</dcterms:modified>
</cp:coreProperties>
</file>